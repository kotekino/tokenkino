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iko/doc/"/>
    </mc:Choice>
  </mc:AlternateContent>
  <xr:revisionPtr revIDLastSave="0" documentId="13_ncr:1_{ED19C436-4FC2-C549-9BC6-084192C8C6E4}" xr6:coauthVersionLast="47" xr6:coauthVersionMax="47" xr10:uidLastSave="{00000000-0000-0000-0000-000000000000}"/>
  <bookViews>
    <workbookView xWindow="0" yWindow="780" windowWidth="36000" windowHeight="22600" activeTab="6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Compiler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5" l="1"/>
  <c r="D82" i="5"/>
  <c r="D83" i="5"/>
  <c r="D84" i="5"/>
  <c r="D85" i="5"/>
  <c r="D86" i="5"/>
  <c r="D87" i="5"/>
  <c r="D88" i="5"/>
  <c r="K88" i="5"/>
  <c r="C88" i="5"/>
  <c r="C87" i="5"/>
  <c r="C86" i="5"/>
  <c r="C85" i="5"/>
  <c r="C84" i="5"/>
  <c r="C83" i="5"/>
  <c r="C82" i="5"/>
  <c r="C81" i="5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L71" i="5"/>
  <c r="L81" i="5" s="1"/>
  <c r="K78" i="5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K71" i="5"/>
  <c r="K81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J71" i="5"/>
  <c r="J81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I71" i="5"/>
  <c r="I81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H71" i="5"/>
  <c r="H81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E71" i="5"/>
  <c r="E81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G71" i="5"/>
  <c r="G81" i="5" s="1"/>
  <c r="F77" i="5"/>
  <c r="F87" i="5" s="1"/>
  <c r="F78" i="5"/>
  <c r="F88" i="5" s="1"/>
  <c r="F76" i="5"/>
  <c r="F86" i="5" s="1"/>
  <c r="F75" i="5"/>
  <c r="F85" i="5" s="1"/>
  <c r="F68" i="5"/>
  <c r="F67" i="5"/>
  <c r="F66" i="5"/>
  <c r="F65" i="5"/>
  <c r="F74" i="5"/>
  <c r="F84" i="5" s="1"/>
  <c r="F73" i="5"/>
  <c r="F83" i="5" s="1"/>
  <c r="F72" i="5"/>
  <c r="F82" i="5" s="1"/>
  <c r="F71" i="5"/>
  <c r="F81" i="5" s="1"/>
  <c r="I68" i="5"/>
  <c r="I67" i="5"/>
  <c r="I66" i="5"/>
  <c r="I65" i="5"/>
  <c r="H68" i="5"/>
  <c r="H67" i="5"/>
  <c r="H66" i="5"/>
  <c r="H65" i="5"/>
  <c r="G66" i="5"/>
  <c r="G67" i="5"/>
  <c r="G68" i="5"/>
  <c r="E66" i="5"/>
  <c r="E67" i="5"/>
  <c r="E68" i="5"/>
  <c r="G65" i="5"/>
  <c r="E65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<sst xmlns="http://schemas.openxmlformats.org/spreadsheetml/2006/main" count="772" uniqueCount="458">
  <si>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</si>
  <si>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</si>
  <si>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</si>
  <si>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</si>
  <si>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</si>
  <si>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</si>
  <si>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</si>
  <si>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</si>
  <si>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</si>
  <si>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</si>
  <si>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</si>
  <si>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</si>
  <si>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</si>
  <si>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</si>
  <si>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</si>
  <si>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</si>
  <si>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</si>
  <si>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</si>
  <si>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</si>
  <si>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</si>
  <si>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</si>
  <si>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</si>
  <si>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</si>
  <si>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</si>
  <si>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</si>
  <si>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</si>
  <si>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</si>
  <si>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</si>
  <si>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</si>
  <si>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</si>
  <si>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</si>
  <si>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</si>
  <si>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</si>
  <si>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</si>
  <si>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</si>
  <si>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</si>
  <si>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</si>
  <si>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</si>
  <si>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</si>
  <si>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</si>
  <si>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</si>
  <si>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</si>
  <si>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</si>
  <si>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</si>
  <si>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</si>
  <si>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</si>
  <si>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</si>
  <si>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</si>
  <si>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</si>
  <si>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</si>
  <si>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</si>
  <si>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</si>
  <si>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</si>
  <si>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</si>
  <si>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</si>
  <si>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</si>
  <si>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</si>
  <si>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</si>
  <si>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</si>
  <si>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</si>
  <si>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</si>
  <si>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</si>
  <si>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</si>
  <si>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</si>
  <si>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</si>
  <si>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</si>
  <si>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</si>
  <si>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</si>
  <si>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</si>
  <si>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</si>
  <si>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</si>
  <si>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</si>
  <si>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</si>
  <si>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</si>
  <si>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</si>
  <si>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</si>
  <si>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</si>
  <si>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</si>
  <si>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</si>
  <si>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</si>
  <si>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</si>
  <si>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</si>
  <si>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</si>
  <si>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</si>
  <si>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</si>
  <si>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</si>
  <si>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</si>
  <si>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</si>
  <si>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</si>
  <si>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</si>
  <si>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</si>
  <si>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</si>
  <si>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</si>
  <si>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</si>
  <si>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</si>
  <si>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</si>
  <si>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</si>
  <si>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</si>
  <si>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</si>
  <si>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</si>
  <si>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</si>
  <si>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</si>
  <si>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</si>
  <si>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</si>
  <si>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</si>
  <si>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</si>
  <si>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</si>
  <si>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</si>
  <si>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</si>
  <si>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</si>
  <si>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</si>
  <si>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</si>
  <si>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</si>
  <si>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</si>
  <si>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</si>
  <si>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</si>
  <si>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</si>
  <si>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</si>
  <si>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</si>
  <si>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</si>
  <si>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</si>
  <si>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</si>
  <si>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</si>
  <si>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</si>
  <si>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</si>
  <si>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</si>
  <si>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</si>
  <si>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</si>
  <si>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</si>
  <si>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</si>
  <si>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</si>
  <si>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</si>
  <si>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</si>
  <si>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</si>
  <si>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</si>
  <si>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</si>
  <si>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</si>
  <si>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</si>
  <si>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</si>
  <si>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</si>
  <si>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</si>
  <si>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</si>
  <si>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</si>
  <si>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</si>
  <si>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</si>
  <si>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</si>
  <si>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</si>
  <si>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</si>
  <si>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</si>
  <si>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</si>
  <si>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</si>
  <si>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</si>
  <si>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</si>
  <si>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</si>
  <si>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</si>
  <si>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</si>
  <si>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</si>
  <si>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</si>
  <si>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</si>
  <si>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</si>
  <si>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</si>
  <si>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</si>
  <si>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</si>
  <si>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</si>
  <si>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</si>
  <si>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</si>
  <si>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</si>
  <si>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</si>
  <si>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</si>
  <si>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</si>
  <si>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</si>
  <si>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</si>
  <si>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</si>
  <si>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</si>
  <si>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</si>
  <si>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</si>
  <si>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</si>
  <si>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</si>
  <si>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</si>
  <si>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</si>
  <si>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</si>
  <si>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</si>
  <si>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</si>
  <si>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</si>
  <si>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</si>
  <si>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</si>
  <si>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</si>
  <si>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</si>
  <si>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</si>
  <si>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</si>
  <si>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</si>
  <si>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</si>
  <si>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</si>
  <si>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</si>
  <si>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</si>
  <si>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</si>
  <si>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</si>
  <si>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</si>
  <si>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</si>
  <si>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</si>
  <si>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</si>
  <si>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</si>
  <si>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</si>
  <si>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</si>
  <si>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</si>
  <si>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</si>
  <si>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</si>
  <si>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</si>
  <si>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</si>
  <si>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</si>
  <si>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</si>
  <si>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</si>
  <si>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</si>
  <si>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</si>
  <si>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</si>
  <si>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</si>
  <si>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</si>
  <si>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</si>
  <si>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</si>
  <si>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</si>
  <si>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</si>
  <si>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</si>
  <si>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</si>
  <si>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</si>
  <si>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</si>
  <si>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</si>
  <si>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</si>
  <si>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</si>
  <si>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</si>
  <si>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</si>
  <si>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</si>
  <si>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</si>
  <si>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</si>
  <si>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</si>
  <si>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</si>
  <si>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</si>
  <si>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</si>
  <si>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</si>
  <si>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</si>
  <si>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</si>
  <si>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</si>
  <si>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</si>
  <si>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</si>
  <si>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</si>
  <si>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</si>
  <si>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</si>
  <si>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</si>
  <si>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</si>
  <si>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</si>
  <si>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</si>
  <si>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</si>
  <si>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</si>
  <si>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</si>
  <si>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</si>
  <si>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</si>
  <si>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</si>
  <si>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</si>
  <si>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</si>
  <si>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</si>
  <si>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</si>
  <si>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</si>
  <si>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</si>
  <si>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</si>
  <si>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</si>
  <si>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</si>
  <si>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</si>
  <si>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</si>
  <si>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</si>
  <si>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</si>
  <si>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</si>
  <si>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</si>
  <si>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</si>
  <si>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</si>
  <si>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</si>
  <si>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</si>
  <si>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</si>
  <si>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</si>
  <si>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</si>
  <si>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</si>
  <si>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</si>
  <si>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</si>
  <si>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</si>
  <si>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</si>
  <si>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</si>
  <si>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</si>
  <si>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</si>
  <si>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</si>
  <si>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</si>
  <si>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>v1*v2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</si>
  <si>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</si>
  <si>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</si>
  <si>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</si>
  <si>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</si>
  <si>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</si>
  <si>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</si>
  <si>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</si>
  <si>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</si>
  <si>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</si>
  <si>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</si>
  <si>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</si>
  <si>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</si>
  <si>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</si>
  <si>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</si>
  <si>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</si>
  <si>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</si>
  <si>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</si>
  <si>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</si>
  <si>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</si>
  <si>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</si>
  <si>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</si>
  <si>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</si>
  <si>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</si>
  <si>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</si>
  <si>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</si>
  <si>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</si>
  <si>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</si>
  <si>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</si>
  <si>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</si>
  <si>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</si>
  <si>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</si>
  <si>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</si>
  <si>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</si>
  <si>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</si>
  <si>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</si>
  <si>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</si>
  <si>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</si>
  <si>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</si>
  <si>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</si>
  <si>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</si>
  <si>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</si>
  <si>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</si>
  <si>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</si>
  <si>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</si>
  <si>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</si>
  <si>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</si>
  <si>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</si>
  <si>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</si>
  <si>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</si>
  <si>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</si>
  <si>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</si>
  <si>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</si>
  <si>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</si>
  <si>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</si>
  <si>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</si>
  <si>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</si>
  <si>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</si>
  <si>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</si>
  <si>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</si>
  <si>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</si>
  <si>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</si>
  <si>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</si>
  <si>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</si>
  <si>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</si>
  <si>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</si>
  <si>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</si>
  <si>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</si>
  <si>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</si>
  <si>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</si>
  <si>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</si>
  <si>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</si>
  <si>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</si>
  <si>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</si>
  <si>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</si>
  <si>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</si>
  <si>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</si>
  <si>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</si>
  <si>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</si>
  <si>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</si>
  <si>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</si>
  <si>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</si>
  <si>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</si>
  <si>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</si>
  <si>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</si>
  <si>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</si>
  <si>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</si>
  <si>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</si>
  <si>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</si>
  <si>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</si>
  <si>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</si>
  <si>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</si>
  <si>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</si>
  <si>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</si>
  <si>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</si>
  <si>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</si>
  <si>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</si>
  <si>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</si>
  <si>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</si>
  <si>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</si>
  <si>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</si>
  <si>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</si>
  <si>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</si>
  <si>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</si>
  <si>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</si>
  <si>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</si>
  <si>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</si>
  <si>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</si>
  <si>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</si>
  <si>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</si>
  <si>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</si>
  <si>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</si>
  <si>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</si>
  <si>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</si>
  <si>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</si>
  <si>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</si>
  <si>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</si>
  <si>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</si>
  <si>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</si>
  <si>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</si>
  <si>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</si>
  <si>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</si>
  <si>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</si>
  <si>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</si>
  <si>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</si>
  <si>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</si>
  <si>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</si>
  <si>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</si>
  <si>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</si>
  <si>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</si>
  <si>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</si>
  <si>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</si>
  <si>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</si>
  <si>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</si>
  <si>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</si>
  <si>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</si>
  <si>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</si>
  <si>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</si>
  <si>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</si>
  <si>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</si>
  <si>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</si>
  <si>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</si>
  <si>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</si>
  <si>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</si>
  <si>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</si>
  <si>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</si>
  <si>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</si>
  <si>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</si>
  <si>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</si>
  <si>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</si>
  <si>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</si>
  <si>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</si>
  <si>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tokenKino flat compiler</t>
  </si>
  <si>
    <t>examples</t>
  </si>
  <si>
    <t>I think you are not paying attention to what I have to say</t>
  </si>
  <si>
    <t>cat be feline mammal</t>
  </si>
  <si>
    <t>the cat is a feline mammal having thick soft fur and no ability to roar</t>
  </si>
  <si>
    <t>roar</t>
  </si>
  <si>
    <t>I have to say</t>
  </si>
  <si>
    <t>you not pay attention to 3</t>
  </si>
  <si>
    <t>I think 2</t>
  </si>
  <si>
    <t>step</t>
  </si>
  <si>
    <t>you or me can prepare the meal</t>
  </si>
  <si>
    <t>you can prepare the meal</t>
  </si>
  <si>
    <t>OR I can prepare the meal</t>
  </si>
  <si>
    <t>cat can have fur thick soft</t>
  </si>
  <si>
    <t>cat can have no ability to 4</t>
  </si>
  <si>
    <t xml:space="preserve">isolate all entities (across the nested structure) </t>
  </si>
  <si>
    <t>merge entities and rebuild statements with the correct reference</t>
  </si>
  <si>
    <t>isolate all the statements (across the nested structure) with duplication for conjuncts and subordinates, matching all 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</si>
</sst>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91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D32" sqref="D32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336</v>
      </c>
      <c r="H19" s="6"/>
    </row>
    <row r="20" spans="2:14">
      <c r="B20" s="4">
        <v>7</v>
      </c>
      <c r="C20" s="3" t="s">
        <v>108</v>
      </c>
      <c r="G20" s="3" t="s">
        <v>337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338</v>
      </c>
      <c r="N26" s="8" t="s">
        <v>160</v>
      </c>
    </row>
    <row r="27" spans="2:14">
      <c r="I27" s="3" t="s">
        <v>339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340</v>
      </c>
    </row>
    <row r="30" spans="2:14" ht="16" customHeight="1">
      <c r="B30" s="4"/>
      <c r="C30" s="3" t="s">
        <v>60</v>
      </c>
      <c r="D30" s="3" t="s">
        <v>61</v>
      </c>
      <c r="E30" s="65" t="s">
        <v>127</v>
      </c>
      <c r="F30" s="65"/>
      <c r="G30" s="65"/>
      <c r="H30" s="65"/>
      <c r="I30" s="4" t="s">
        <v>341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342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65" t="s">
        <v>127</v>
      </c>
      <c r="F36" s="65"/>
      <c r="G36" s="65"/>
      <c r="H36" s="65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343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351</v>
      </c>
      <c r="F26" s="15"/>
      <c r="G26" s="15"/>
    </row>
    <row r="27" spans="3:10">
      <c r="C27" s="53" t="s">
        <v>352</v>
      </c>
      <c r="G27" s="15"/>
      <c r="J27" s="15"/>
    </row>
    <row r="28" spans="3:10">
      <c r="C28" s="53" t="s">
        <v>353</v>
      </c>
    </row>
    <row r="29" spans="3:10">
      <c r="C29" s="53" t="s">
        <v>354</v>
      </c>
    </row>
    <row r="30" spans="3:10">
      <c r="C30" s="53" t="s">
        <v>355</v>
      </c>
    </row>
    <row r="31" spans="3:10">
      <c r="C31" s="53" t="s">
        <v>356</v>
      </c>
    </row>
    <row r="32" spans="3:10">
      <c r="C32" s="53" t="s">
        <v>357</v>
      </c>
    </row>
    <row r="33" spans="3:3">
      <c r="C33" s="53" t="s">
        <v>358</v>
      </c>
    </row>
    <row r="34" spans="3:3">
      <c r="C34" s="53" t="s">
        <v>359</v>
      </c>
    </row>
    <row r="35" spans="3:3">
      <c r="C35" s="53" t="s">
        <v>360</v>
      </c>
    </row>
    <row r="36" spans="3:3">
      <c r="C36" s="53" t="s">
        <v>361</v>
      </c>
    </row>
    <row r="37" spans="3:3">
      <c r="C37" s="53" t="s">
        <v>362</v>
      </c>
    </row>
    <row r="38" spans="3:3">
      <c r="C38" s="53" t="s">
        <v>363</v>
      </c>
    </row>
    <row r="39" spans="3:3">
      <c r="C39" s="53" t="s">
        <v>364</v>
      </c>
    </row>
    <row r="40" spans="3:3">
      <c r="C40" s="53" t="s">
        <v>365</v>
      </c>
    </row>
    <row r="41" spans="3:3">
      <c r="C41" s="53" t="s">
        <v>366</v>
      </c>
    </row>
    <row r="42" spans="3:3">
      <c r="C42" s="53" t="s">
        <v>367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4"/>
  <sheetViews>
    <sheetView zoomScale="125" workbookViewId="0">
      <selection activeCell="H51" sqref="H51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68" t="s">
        <v>344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70"/>
      <c r="Q6" s="22"/>
      <c r="R6" s="22" t="s">
        <v>218</v>
      </c>
      <c r="U6" s="2"/>
    </row>
    <row r="7" spans="3:21">
      <c r="C7" s="72" t="s">
        <v>227</v>
      </c>
      <c r="D7" s="73"/>
      <c r="E7" s="73"/>
      <c r="F7" s="73"/>
      <c r="G7" s="73"/>
      <c r="H7" s="73"/>
      <c r="I7" s="74"/>
      <c r="J7" s="72" t="s">
        <v>230</v>
      </c>
      <c r="K7" s="73"/>
      <c r="L7" s="73"/>
      <c r="M7" s="73"/>
      <c r="N7" s="73"/>
      <c r="O7" s="73"/>
      <c r="P7" s="74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79" t="s">
        <v>234</v>
      </c>
      <c r="D9" s="68" t="b">
        <v>1</v>
      </c>
      <c r="E9" s="69"/>
      <c r="F9" s="69"/>
      <c r="G9" s="69"/>
      <c r="H9" s="69"/>
      <c r="I9" s="70"/>
      <c r="J9" s="79" t="s">
        <v>218</v>
      </c>
      <c r="K9" s="67" t="b">
        <v>1</v>
      </c>
      <c r="L9" s="67"/>
      <c r="M9" s="67"/>
      <c r="N9" s="67"/>
      <c r="O9" s="67"/>
      <c r="P9" s="67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0"/>
      <c r="D10" s="75" t="b">
        <v>1</v>
      </c>
      <c r="E10" s="76"/>
      <c r="F10" s="76"/>
      <c r="G10" s="76"/>
      <c r="H10" s="76"/>
      <c r="I10" s="77"/>
      <c r="J10" s="80"/>
      <c r="K10" s="78" t="b">
        <v>0</v>
      </c>
      <c r="L10" s="78"/>
      <c r="M10" s="78"/>
      <c r="N10" s="78"/>
      <c r="O10" s="78"/>
      <c r="P10" s="78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0"/>
      <c r="D11" s="68" t="b">
        <v>0</v>
      </c>
      <c r="E11" s="69"/>
      <c r="F11" s="69"/>
      <c r="G11" s="69"/>
      <c r="H11" s="69"/>
      <c r="I11" s="70"/>
      <c r="J11" s="80"/>
      <c r="K11" s="67" t="b">
        <v>1</v>
      </c>
      <c r="L11" s="67"/>
      <c r="M11" s="67"/>
      <c r="N11" s="67"/>
      <c r="O11" s="67"/>
      <c r="P11" s="67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1"/>
      <c r="D12" s="68" t="b">
        <v>0</v>
      </c>
      <c r="E12" s="69"/>
      <c r="F12" s="69"/>
      <c r="G12" s="69"/>
      <c r="H12" s="69"/>
      <c r="I12" s="70"/>
      <c r="J12" s="81"/>
      <c r="K12" s="67" t="b">
        <v>0</v>
      </c>
      <c r="L12" s="67"/>
      <c r="M12" s="67"/>
      <c r="N12" s="67"/>
      <c r="O12" s="67"/>
      <c r="P12" s="67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68" t="s">
        <v>345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70"/>
      <c r="Q14" s="19"/>
      <c r="R14" s="22" t="s">
        <v>219</v>
      </c>
      <c r="U14" s="2"/>
    </row>
    <row r="15" spans="3:21">
      <c r="C15" s="72" t="s">
        <v>228</v>
      </c>
      <c r="D15" s="73"/>
      <c r="E15" s="73"/>
      <c r="F15" s="73"/>
      <c r="G15" s="73"/>
      <c r="H15" s="73"/>
      <c r="I15" s="74"/>
      <c r="J15" s="72" t="s">
        <v>230</v>
      </c>
      <c r="K15" s="73"/>
      <c r="L15" s="73"/>
      <c r="M15" s="73"/>
      <c r="N15" s="73"/>
      <c r="O15" s="73"/>
      <c r="P15" s="74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79" t="s">
        <v>234</v>
      </c>
      <c r="D17" s="68" t="b">
        <v>1</v>
      </c>
      <c r="E17" s="69"/>
      <c r="F17" s="69"/>
      <c r="G17" s="69"/>
      <c r="H17" s="69"/>
      <c r="I17" s="70"/>
      <c r="J17" s="79" t="s">
        <v>219</v>
      </c>
      <c r="K17" s="67" t="b">
        <v>1</v>
      </c>
      <c r="L17" s="67"/>
      <c r="M17" s="67"/>
      <c r="N17" s="67"/>
      <c r="O17" s="67"/>
      <c r="P17" s="67"/>
      <c r="Q17" s="24" t="b">
        <v>1</v>
      </c>
      <c r="R17" s="19"/>
      <c r="U17" s="2"/>
    </row>
    <row r="18" spans="3:21">
      <c r="C18" s="80"/>
      <c r="D18" s="68" t="b">
        <v>1</v>
      </c>
      <c r="E18" s="69"/>
      <c r="F18" s="69"/>
      <c r="G18" s="69"/>
      <c r="H18" s="69"/>
      <c r="I18" s="70"/>
      <c r="J18" s="80"/>
      <c r="K18" s="67" t="b">
        <v>0</v>
      </c>
      <c r="L18" s="67"/>
      <c r="M18" s="67"/>
      <c r="N18" s="67"/>
      <c r="O18" s="67"/>
      <c r="P18" s="67"/>
      <c r="Q18" s="24" t="b">
        <v>1</v>
      </c>
      <c r="R18" s="19"/>
      <c r="U18" s="2"/>
    </row>
    <row r="19" spans="3:21">
      <c r="C19" s="80"/>
      <c r="D19" s="75" t="b">
        <v>0</v>
      </c>
      <c r="E19" s="76"/>
      <c r="F19" s="76"/>
      <c r="G19" s="76"/>
      <c r="H19" s="76"/>
      <c r="I19" s="77"/>
      <c r="J19" s="80"/>
      <c r="K19" s="78" t="b">
        <v>1</v>
      </c>
      <c r="L19" s="78"/>
      <c r="M19" s="78"/>
      <c r="N19" s="78"/>
      <c r="O19" s="78"/>
      <c r="P19" s="78"/>
      <c r="Q19" s="26" t="b">
        <v>0</v>
      </c>
      <c r="R19" s="19"/>
      <c r="U19" s="2"/>
    </row>
    <row r="20" spans="3:21">
      <c r="C20" s="81"/>
      <c r="D20" s="68" t="b">
        <v>0</v>
      </c>
      <c r="E20" s="69"/>
      <c r="F20" s="69"/>
      <c r="G20" s="69"/>
      <c r="H20" s="69"/>
      <c r="I20" s="70"/>
      <c r="J20" s="81"/>
      <c r="K20" s="67" t="b">
        <v>0</v>
      </c>
      <c r="L20" s="67"/>
      <c r="M20" s="67"/>
      <c r="N20" s="67"/>
      <c r="O20" s="67"/>
      <c r="P20" s="67"/>
      <c r="Q20" s="27" t="b">
        <v>1</v>
      </c>
      <c r="R20" s="19"/>
    </row>
    <row r="21" spans="3:21">
      <c r="Q21" s="19"/>
      <c r="R21" s="19"/>
    </row>
    <row r="22" spans="3:21">
      <c r="C22" s="68" t="s">
        <v>346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70"/>
      <c r="Q22" s="19"/>
      <c r="R22" s="22" t="s">
        <v>217</v>
      </c>
    </row>
    <row r="23" spans="3:21">
      <c r="C23" s="72" t="s">
        <v>229</v>
      </c>
      <c r="D23" s="73"/>
      <c r="E23" s="73"/>
      <c r="F23" s="73"/>
      <c r="G23" s="73"/>
      <c r="H23" s="73"/>
      <c r="I23" s="74"/>
      <c r="J23" s="72" t="s">
        <v>231</v>
      </c>
      <c r="K23" s="73"/>
      <c r="L23" s="73"/>
      <c r="M23" s="73"/>
      <c r="N23" s="73"/>
      <c r="O23" s="73"/>
      <c r="P23" s="74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79" t="s">
        <v>234</v>
      </c>
      <c r="D25" s="68" t="b">
        <v>1</v>
      </c>
      <c r="E25" s="69"/>
      <c r="F25" s="69"/>
      <c r="G25" s="69"/>
      <c r="H25" s="69"/>
      <c r="I25" s="70"/>
      <c r="J25" s="82" t="s">
        <v>233</v>
      </c>
      <c r="K25" s="67" t="b">
        <v>1</v>
      </c>
      <c r="L25" s="67"/>
      <c r="M25" s="67"/>
      <c r="N25" s="67"/>
      <c r="O25" s="67"/>
      <c r="P25" s="67"/>
      <c r="Q25" s="24" t="b">
        <v>1</v>
      </c>
      <c r="R25" s="19"/>
    </row>
    <row r="26" spans="3:21">
      <c r="C26" s="80"/>
      <c r="D26" s="75" t="b">
        <v>1</v>
      </c>
      <c r="E26" s="76"/>
      <c r="F26" s="76"/>
      <c r="G26" s="76"/>
      <c r="H26" s="76"/>
      <c r="I26" s="77"/>
      <c r="J26" s="80"/>
      <c r="K26" s="78" t="b">
        <v>0</v>
      </c>
      <c r="L26" s="78"/>
      <c r="M26" s="78"/>
      <c r="N26" s="78"/>
      <c r="O26" s="78"/>
      <c r="P26" s="78"/>
      <c r="Q26" s="26" t="b">
        <v>0</v>
      </c>
      <c r="R26" s="19"/>
    </row>
    <row r="27" spans="3:21">
      <c r="C27" s="80"/>
      <c r="D27" s="75" t="b">
        <v>0</v>
      </c>
      <c r="E27" s="76"/>
      <c r="F27" s="76"/>
      <c r="G27" s="76"/>
      <c r="H27" s="76"/>
      <c r="I27" s="77"/>
      <c r="J27" s="80"/>
      <c r="K27" s="78" t="b">
        <v>1</v>
      </c>
      <c r="L27" s="78"/>
      <c r="M27" s="78"/>
      <c r="N27" s="78"/>
      <c r="O27" s="78"/>
      <c r="P27" s="78"/>
      <c r="Q27" s="28" t="b">
        <v>0</v>
      </c>
      <c r="R27" s="19"/>
    </row>
    <row r="28" spans="3:21">
      <c r="C28" s="81"/>
      <c r="D28" s="68" t="b">
        <v>0</v>
      </c>
      <c r="E28" s="69"/>
      <c r="F28" s="69"/>
      <c r="G28" s="69"/>
      <c r="H28" s="69"/>
      <c r="I28" s="70"/>
      <c r="J28" s="81"/>
      <c r="K28" s="67" t="b">
        <v>0</v>
      </c>
      <c r="L28" s="67"/>
      <c r="M28" s="67"/>
      <c r="N28" s="67"/>
      <c r="O28" s="67"/>
      <c r="P28" s="67"/>
      <c r="Q28" s="27" t="b">
        <v>1</v>
      </c>
      <c r="R28" s="19"/>
    </row>
    <row r="29" spans="3:21">
      <c r="R29" s="19"/>
    </row>
    <row r="30" spans="3:21">
      <c r="C30" s="68" t="s">
        <v>347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70"/>
      <c r="Q30" s="19"/>
      <c r="R30" s="22" t="s">
        <v>220</v>
      </c>
    </row>
    <row r="31" spans="3:21">
      <c r="C31" s="72" t="s">
        <v>237</v>
      </c>
      <c r="D31" s="73"/>
      <c r="E31" s="73"/>
      <c r="F31" s="73"/>
      <c r="G31" s="73"/>
      <c r="H31" s="73"/>
      <c r="I31" s="74"/>
      <c r="J31" s="72" t="s">
        <v>238</v>
      </c>
      <c r="K31" s="73"/>
      <c r="L31" s="73"/>
      <c r="M31" s="73"/>
      <c r="N31" s="73"/>
      <c r="O31" s="73"/>
      <c r="P31" s="74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68" t="s">
        <v>216</v>
      </c>
      <c r="E33" s="69"/>
      <c r="F33" s="69"/>
      <c r="G33" s="69"/>
      <c r="H33" s="69"/>
      <c r="I33" s="70"/>
      <c r="J33" s="24" t="s">
        <v>235</v>
      </c>
      <c r="K33" s="67" t="s">
        <v>221</v>
      </c>
      <c r="L33" s="67"/>
      <c r="M33" s="67"/>
      <c r="N33" s="67"/>
      <c r="O33" s="67"/>
      <c r="P33" s="67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71" t="s">
        <v>253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348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348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289</v>
      </c>
    </row>
    <row r="53" spans="2:12">
      <c r="B53" s="2" t="s">
        <v>283</v>
      </c>
      <c r="C53" s="2" t="s">
        <v>284</v>
      </c>
      <c r="E53" s="2" t="s">
        <v>288</v>
      </c>
    </row>
    <row r="54" spans="2:12">
      <c r="B54" s="2" t="s">
        <v>283</v>
      </c>
      <c r="C54" s="2" t="s">
        <v>280</v>
      </c>
      <c r="E54" s="2" t="s">
        <v>26</v>
      </c>
    </row>
    <row r="55" spans="2:12">
      <c r="B55" s="2" t="s">
        <v>13</v>
      </c>
      <c r="C55" s="2" t="s">
        <v>146</v>
      </c>
      <c r="E55" s="32" t="s">
        <v>290</v>
      </c>
    </row>
    <row r="56" spans="2:12">
      <c r="B56" s="2" t="s">
        <v>283</v>
      </c>
      <c r="C56" s="2" t="s">
        <v>291</v>
      </c>
      <c r="E56" s="32" t="s">
        <v>292</v>
      </c>
    </row>
    <row r="57" spans="2:12">
      <c r="B57" s="2" t="s">
        <v>283</v>
      </c>
      <c r="C57" s="2" t="s">
        <v>293</v>
      </c>
      <c r="E57" s="32" t="s">
        <v>294</v>
      </c>
    </row>
    <row r="58" spans="2:12">
      <c r="B58" s="2" t="s">
        <v>283</v>
      </c>
      <c r="C58" s="2" t="s">
        <v>295</v>
      </c>
      <c r="E58" s="32" t="s">
        <v>297</v>
      </c>
    </row>
    <row r="59" spans="2:12">
      <c r="B59" s="2" t="s">
        <v>283</v>
      </c>
      <c r="C59" s="2" t="s">
        <v>296</v>
      </c>
    </row>
    <row r="61" spans="2:12">
      <c r="C61" s="31" t="s">
        <v>281</v>
      </c>
    </row>
    <row r="63" spans="2:12">
      <c r="C63" s="22" t="s">
        <v>13</v>
      </c>
      <c r="D63" s="22" t="s">
        <v>14</v>
      </c>
      <c r="E63" s="22" t="s">
        <v>278</v>
      </c>
      <c r="F63" s="22" t="s">
        <v>280</v>
      </c>
      <c r="G63" s="22" t="s">
        <v>282</v>
      </c>
      <c r="H63" s="22" t="s">
        <v>285</v>
      </c>
      <c r="I63" s="22" t="s">
        <v>217</v>
      </c>
      <c r="J63" s="22" t="s">
        <v>218</v>
      </c>
      <c r="K63" s="22" t="s">
        <v>219</v>
      </c>
      <c r="L63" s="22" t="s">
        <v>298</v>
      </c>
    </row>
    <row r="64" spans="2:12">
      <c r="C64" s="66" t="s">
        <v>286</v>
      </c>
      <c r="D64" s="66"/>
      <c r="E64" s="66"/>
      <c r="F64" s="66"/>
      <c r="G64" s="66"/>
      <c r="H64" s="66"/>
      <c r="I64" s="66"/>
      <c r="J64" s="66"/>
      <c r="K64" s="66"/>
      <c r="L64" s="66"/>
    </row>
    <row r="65" spans="3:12">
      <c r="C65" s="19" t="b">
        <v>1</v>
      </c>
      <c r="D65" s="19" t="b">
        <v>1</v>
      </c>
      <c r="E65" s="19" t="b">
        <f>AND(C65,D65)</f>
        <v>1</v>
      </c>
      <c r="F65" s="19" t="b">
        <f>OR(C65,D65)</f>
        <v>1</v>
      </c>
      <c r="G65" s="19" t="b">
        <f>NOT(C65)</f>
        <v>0</v>
      </c>
      <c r="H65" s="19" t="b">
        <f>_xlfn.XOR(C65,D65)</f>
        <v>0</v>
      </c>
      <c r="I65" s="19" t="b">
        <f>NOT(_xlfn.XOR(C65,D65))</f>
        <v>1</v>
      </c>
      <c r="J65" s="2" t="b">
        <v>1</v>
      </c>
      <c r="K65" s="2" t="b">
        <v>1</v>
      </c>
      <c r="L65" s="2" t="b">
        <v>1</v>
      </c>
    </row>
    <row r="66" spans="3:12">
      <c r="C66" s="19" t="b">
        <v>1</v>
      </c>
      <c r="D66" s="19" t="b">
        <v>0</v>
      </c>
      <c r="E66" s="19" t="b">
        <f t="shared" ref="E66:E68" si="0">AND(C66,D66)</f>
        <v>0</v>
      </c>
      <c r="F66" s="19" t="b">
        <f>OR(C66,D66)</f>
        <v>1</v>
      </c>
      <c r="G66" s="19" t="b">
        <f t="shared" ref="G66:G68" si="1">NOT(C66)</f>
        <v>0</v>
      </c>
      <c r="H66" s="19" t="b">
        <f>_xlfn.XOR(C66,D66)</f>
        <v>1</v>
      </c>
      <c r="I66" s="19" t="b">
        <f>NOT(_xlfn.XOR(C66,D66))</f>
        <v>0</v>
      </c>
      <c r="J66" s="2" t="b">
        <v>0</v>
      </c>
      <c r="K66" s="2" t="b">
        <v>1</v>
      </c>
      <c r="L66" s="2" t="b">
        <v>0</v>
      </c>
    </row>
    <row r="67" spans="3:12">
      <c r="C67" s="19" t="b">
        <v>0</v>
      </c>
      <c r="D67" s="19" t="b">
        <v>1</v>
      </c>
      <c r="E67" s="19" t="b">
        <f t="shared" si="0"/>
        <v>0</v>
      </c>
      <c r="F67" s="19" t="b">
        <f>OR(C67,D67)</f>
        <v>1</v>
      </c>
      <c r="G67" s="19" t="b">
        <f t="shared" si="1"/>
        <v>1</v>
      </c>
      <c r="H67" s="19" t="b">
        <f>_xlfn.XOR(C67,D67)</f>
        <v>1</v>
      </c>
      <c r="I67" s="19" t="b">
        <f>NOT(_xlfn.XOR(C67,D67))</f>
        <v>0</v>
      </c>
      <c r="J67" s="2" t="b">
        <v>1</v>
      </c>
      <c r="K67" s="2" t="b">
        <v>0</v>
      </c>
      <c r="L67" s="2" t="b">
        <v>0</v>
      </c>
    </row>
    <row r="68" spans="3:12">
      <c r="C68" s="19" t="b">
        <v>0</v>
      </c>
      <c r="D68" s="19" t="b">
        <v>0</v>
      </c>
      <c r="E68" s="19" t="b">
        <f t="shared" si="0"/>
        <v>0</v>
      </c>
      <c r="F68" s="19" t="b">
        <f>OR(C68,D68)</f>
        <v>0</v>
      </c>
      <c r="G68" s="19" t="b">
        <f t="shared" si="1"/>
        <v>1</v>
      </c>
      <c r="H68" s="19" t="b">
        <f>_xlfn.XOR(C68,D68)</f>
        <v>0</v>
      </c>
      <c r="I68" s="19" t="b">
        <f>NOT(_xlfn.XOR(C68,D68))</f>
        <v>1</v>
      </c>
      <c r="J68" s="2" t="b">
        <v>1</v>
      </c>
      <c r="K68" s="2" t="b">
        <v>1</v>
      </c>
      <c r="L68" s="2" t="b">
        <v>1</v>
      </c>
    </row>
    <row r="69" spans="3:12">
      <c r="C69" s="19"/>
      <c r="D69" s="19"/>
      <c r="E69" s="19"/>
      <c r="F69" s="19"/>
      <c r="G69" s="19"/>
    </row>
    <row r="70" spans="3:12">
      <c r="C70" s="66" t="s">
        <v>287</v>
      </c>
      <c r="D70" s="66"/>
      <c r="E70" s="66"/>
      <c r="F70" s="66"/>
      <c r="G70" s="66"/>
      <c r="H70" s="66"/>
      <c r="I70" s="66"/>
      <c r="J70" s="66"/>
      <c r="K70" s="66"/>
      <c r="L70" s="66"/>
    </row>
    <row r="71" spans="3:12">
      <c r="C71" s="19">
        <v>1</v>
      </c>
      <c r="D71" s="19">
        <v>1</v>
      </c>
      <c r="E71" s="19">
        <f t="shared" ref="E71:E78" si="2">MIN(C71,D71)</f>
        <v>1</v>
      </c>
      <c r="F71" s="19">
        <f t="shared" ref="F71:F78" si="3">MAX(C71,D71)</f>
        <v>1</v>
      </c>
      <c r="G71" s="19">
        <f t="shared" ref="G71:G78" si="4">1-C71</f>
        <v>0</v>
      </c>
      <c r="H71" s="19">
        <f t="shared" ref="H71:H78" si="5">MAX(MIN(C71, 1-D71), MIN(1-C71,D71))</f>
        <v>0</v>
      </c>
      <c r="I71" s="19">
        <f t="shared" ref="I71:I78" si="6">1-MAX(MIN(C71,1-D71),MIN(1-C71,D71))</f>
        <v>1</v>
      </c>
      <c r="J71" s="19">
        <f t="shared" ref="J71:J78" si="7">IF(C71&lt;=D71,1,D71)</f>
        <v>1</v>
      </c>
      <c r="K71" s="19">
        <f t="shared" ref="K71:K78" si="8">IF(D71&lt;=C71,1,C71)</f>
        <v>1</v>
      </c>
      <c r="L71" s="19">
        <f t="shared" ref="L71:L78" si="9">MIN(IF(C71&lt;=D71,1,D71),IF(D71&lt;=C71,1,C71))</f>
        <v>1</v>
      </c>
    </row>
    <row r="72" spans="3:12">
      <c r="C72" s="19">
        <v>1</v>
      </c>
      <c r="D72" s="19">
        <v>0</v>
      </c>
      <c r="E72" s="19">
        <f t="shared" si="2"/>
        <v>0</v>
      </c>
      <c r="F72" s="19">
        <f t="shared" si="3"/>
        <v>1</v>
      </c>
      <c r="G72" s="19">
        <f t="shared" si="4"/>
        <v>0</v>
      </c>
      <c r="H72" s="19">
        <f t="shared" si="5"/>
        <v>1</v>
      </c>
      <c r="I72" s="19">
        <f t="shared" si="6"/>
        <v>0</v>
      </c>
      <c r="J72" s="19">
        <f t="shared" si="7"/>
        <v>0</v>
      </c>
      <c r="K72" s="19">
        <f t="shared" si="8"/>
        <v>1</v>
      </c>
      <c r="L72" s="19">
        <f t="shared" si="9"/>
        <v>0</v>
      </c>
    </row>
    <row r="73" spans="3:12">
      <c r="C73" s="19">
        <v>0</v>
      </c>
      <c r="D73" s="19">
        <v>1</v>
      </c>
      <c r="E73" s="19">
        <f t="shared" si="2"/>
        <v>0</v>
      </c>
      <c r="F73" s="19">
        <f t="shared" si="3"/>
        <v>1</v>
      </c>
      <c r="G73" s="19">
        <f t="shared" si="4"/>
        <v>1</v>
      </c>
      <c r="H73" s="19">
        <f t="shared" si="5"/>
        <v>1</v>
      </c>
      <c r="I73" s="19">
        <f t="shared" si="6"/>
        <v>0</v>
      </c>
      <c r="J73" s="19">
        <f t="shared" si="7"/>
        <v>1</v>
      </c>
      <c r="K73" s="19">
        <f t="shared" si="8"/>
        <v>0</v>
      </c>
      <c r="L73" s="19">
        <f t="shared" si="9"/>
        <v>0</v>
      </c>
    </row>
    <row r="74" spans="3:12">
      <c r="C74" s="19">
        <v>0</v>
      </c>
      <c r="D74" s="19">
        <v>0</v>
      </c>
      <c r="E74" s="19">
        <f t="shared" si="2"/>
        <v>0</v>
      </c>
      <c r="F74" s="19">
        <f t="shared" si="3"/>
        <v>0</v>
      </c>
      <c r="G74" s="19">
        <f t="shared" si="4"/>
        <v>1</v>
      </c>
      <c r="H74" s="19">
        <f t="shared" si="5"/>
        <v>0</v>
      </c>
      <c r="I74" s="19">
        <f t="shared" si="6"/>
        <v>1</v>
      </c>
      <c r="J74" s="19">
        <f t="shared" si="7"/>
        <v>1</v>
      </c>
      <c r="K74" s="19">
        <f t="shared" si="8"/>
        <v>1</v>
      </c>
      <c r="L74" s="19">
        <f t="shared" si="9"/>
        <v>1</v>
      </c>
    </row>
    <row r="75" spans="3:12">
      <c r="C75" s="19">
        <v>0.8</v>
      </c>
      <c r="D75" s="19">
        <v>0.8</v>
      </c>
      <c r="E75" s="19">
        <f t="shared" si="2"/>
        <v>0.8</v>
      </c>
      <c r="F75" s="19">
        <f t="shared" si="3"/>
        <v>0.8</v>
      </c>
      <c r="G75" s="19">
        <f t="shared" si="4"/>
        <v>0.19999999999999996</v>
      </c>
      <c r="H75" s="19">
        <f t="shared" si="5"/>
        <v>0.19999999999999996</v>
      </c>
      <c r="I75" s="19">
        <f t="shared" si="6"/>
        <v>0.8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0.9</v>
      </c>
      <c r="D76" s="19">
        <v>0.1</v>
      </c>
      <c r="E76" s="19">
        <f t="shared" si="2"/>
        <v>0.1</v>
      </c>
      <c r="F76" s="19">
        <f t="shared" si="3"/>
        <v>0.9</v>
      </c>
      <c r="G76" s="19">
        <f t="shared" si="4"/>
        <v>9.9999999999999978E-2</v>
      </c>
      <c r="H76" s="19">
        <f t="shared" si="5"/>
        <v>0.9</v>
      </c>
      <c r="I76" s="19">
        <f t="shared" si="6"/>
        <v>9.9999999999999978E-2</v>
      </c>
      <c r="J76" s="19">
        <f t="shared" si="7"/>
        <v>0.1</v>
      </c>
      <c r="K76" s="19">
        <f t="shared" si="8"/>
        <v>1</v>
      </c>
      <c r="L76" s="19">
        <f t="shared" si="9"/>
        <v>0.1</v>
      </c>
    </row>
    <row r="77" spans="3:12">
      <c r="C77" s="19">
        <v>0.1</v>
      </c>
      <c r="D77" s="19">
        <v>0.9</v>
      </c>
      <c r="E77" s="19">
        <f t="shared" si="2"/>
        <v>0.1</v>
      </c>
      <c r="F77" s="19">
        <f t="shared" si="3"/>
        <v>0.9</v>
      </c>
      <c r="G77" s="19">
        <f t="shared" si="4"/>
        <v>0.9</v>
      </c>
      <c r="H77" s="19">
        <f t="shared" si="5"/>
        <v>0.9</v>
      </c>
      <c r="I77" s="19">
        <f t="shared" si="6"/>
        <v>9.9999999999999978E-2</v>
      </c>
      <c r="J77" s="19">
        <f t="shared" si="7"/>
        <v>1</v>
      </c>
      <c r="K77" s="19">
        <f t="shared" si="8"/>
        <v>0.1</v>
      </c>
      <c r="L77" s="19">
        <f t="shared" si="9"/>
        <v>0.1</v>
      </c>
    </row>
    <row r="78" spans="3:12">
      <c r="C78" s="19">
        <v>0.2</v>
      </c>
      <c r="D78" s="19">
        <v>0.2</v>
      </c>
      <c r="E78" s="19">
        <f t="shared" si="2"/>
        <v>0.2</v>
      </c>
      <c r="F78" s="19">
        <f t="shared" si="3"/>
        <v>0.2</v>
      </c>
      <c r="G78" s="19">
        <f t="shared" si="4"/>
        <v>0.8</v>
      </c>
      <c r="H78" s="19">
        <f t="shared" si="5"/>
        <v>0.2</v>
      </c>
      <c r="I78" s="19">
        <f t="shared" si="6"/>
        <v>0.8</v>
      </c>
      <c r="J78" s="19">
        <f t="shared" si="7"/>
        <v>1</v>
      </c>
      <c r="K78" s="19">
        <f t="shared" si="8"/>
        <v>1</v>
      </c>
      <c r="L78" s="19">
        <f t="shared" si="9"/>
        <v>1</v>
      </c>
    </row>
    <row r="80" spans="3:12">
      <c r="C80" s="66" t="s">
        <v>299</v>
      </c>
      <c r="D80" s="66"/>
      <c r="E80" s="66"/>
      <c r="F80" s="66"/>
      <c r="G80" s="66"/>
      <c r="H80" s="66"/>
      <c r="I80" s="66"/>
      <c r="J80" s="66"/>
      <c r="K80" s="66"/>
      <c r="L80" s="66"/>
    </row>
    <row r="81" spans="3:14">
      <c r="C81" s="19">
        <f t="shared" ref="C81:C88" si="10">C71 * 2 -1</f>
        <v>1</v>
      </c>
      <c r="D81" s="19">
        <f t="shared" ref="D81:L81" si="11">D71 * 2 -1</f>
        <v>1</v>
      </c>
      <c r="E81" s="19">
        <f t="shared" si="11"/>
        <v>1</v>
      </c>
      <c r="F81" s="19">
        <f t="shared" si="11"/>
        <v>1</v>
      </c>
      <c r="G81" s="19">
        <f t="shared" si="11"/>
        <v>-1</v>
      </c>
      <c r="H81" s="19">
        <f t="shared" si="11"/>
        <v>-1</v>
      </c>
      <c r="I81" s="19">
        <f t="shared" si="11"/>
        <v>1</v>
      </c>
      <c r="J81" s="19">
        <f t="shared" si="11"/>
        <v>1</v>
      </c>
      <c r="K81" s="19">
        <f t="shared" si="11"/>
        <v>1</v>
      </c>
      <c r="L81" s="19">
        <f t="shared" si="11"/>
        <v>1</v>
      </c>
    </row>
    <row r="82" spans="3:14">
      <c r="C82" s="19">
        <f t="shared" si="10"/>
        <v>1</v>
      </c>
      <c r="D82" s="19">
        <f t="shared" ref="D82:L82" si="12">D72 * 2 -1</f>
        <v>-1</v>
      </c>
      <c r="E82" s="19">
        <f t="shared" si="12"/>
        <v>-1</v>
      </c>
      <c r="F82" s="19">
        <f t="shared" si="12"/>
        <v>1</v>
      </c>
      <c r="G82" s="19">
        <f t="shared" si="12"/>
        <v>-1</v>
      </c>
      <c r="H82" s="19">
        <f t="shared" si="12"/>
        <v>1</v>
      </c>
      <c r="I82" s="19">
        <f t="shared" si="12"/>
        <v>-1</v>
      </c>
      <c r="J82" s="19">
        <f t="shared" si="12"/>
        <v>-1</v>
      </c>
      <c r="K82" s="19">
        <f t="shared" si="12"/>
        <v>1</v>
      </c>
      <c r="L82" s="19">
        <f t="shared" si="12"/>
        <v>-1</v>
      </c>
    </row>
    <row r="83" spans="3:14">
      <c r="C83" s="19">
        <f t="shared" si="10"/>
        <v>-1</v>
      </c>
      <c r="D83" s="19">
        <f t="shared" ref="D83:L83" si="13">D73 * 2 -1</f>
        <v>1</v>
      </c>
      <c r="E83" s="19">
        <f t="shared" si="13"/>
        <v>-1</v>
      </c>
      <c r="F83" s="19">
        <f t="shared" si="13"/>
        <v>1</v>
      </c>
      <c r="G83" s="19">
        <f t="shared" si="13"/>
        <v>1</v>
      </c>
      <c r="H83" s="19">
        <f t="shared" si="13"/>
        <v>1</v>
      </c>
      <c r="I83" s="19">
        <f t="shared" si="13"/>
        <v>-1</v>
      </c>
      <c r="J83" s="19">
        <f t="shared" si="13"/>
        <v>1</v>
      </c>
      <c r="K83" s="19">
        <f t="shared" si="13"/>
        <v>-1</v>
      </c>
      <c r="L83" s="19">
        <f t="shared" si="13"/>
        <v>-1</v>
      </c>
    </row>
    <row r="84" spans="3:14">
      <c r="C84" s="19">
        <f t="shared" si="10"/>
        <v>-1</v>
      </c>
      <c r="D84" s="19">
        <f t="shared" ref="D84:L84" si="14">D74 * 2 -1</f>
        <v>-1</v>
      </c>
      <c r="E84" s="19">
        <f t="shared" si="14"/>
        <v>-1</v>
      </c>
      <c r="F84" s="19">
        <f t="shared" si="14"/>
        <v>-1</v>
      </c>
      <c r="G84" s="19">
        <f t="shared" si="14"/>
        <v>1</v>
      </c>
      <c r="H84" s="19">
        <f t="shared" si="14"/>
        <v>-1</v>
      </c>
      <c r="I84" s="19">
        <f t="shared" si="14"/>
        <v>1</v>
      </c>
      <c r="J84" s="19">
        <f t="shared" si="14"/>
        <v>1</v>
      </c>
      <c r="K84" s="19">
        <f t="shared" si="14"/>
        <v>1</v>
      </c>
      <c r="L84" s="19">
        <f t="shared" si="14"/>
        <v>1</v>
      </c>
    </row>
    <row r="85" spans="3:14">
      <c r="C85" s="19">
        <f t="shared" si="10"/>
        <v>0.60000000000000009</v>
      </c>
      <c r="D85" s="19">
        <f t="shared" ref="D85:L85" si="15">D75 * 2 -1</f>
        <v>0.60000000000000009</v>
      </c>
      <c r="E85" s="19">
        <f t="shared" si="15"/>
        <v>0.60000000000000009</v>
      </c>
      <c r="F85" s="19">
        <f t="shared" si="15"/>
        <v>0.60000000000000009</v>
      </c>
      <c r="G85" s="19">
        <f t="shared" si="15"/>
        <v>-0.60000000000000009</v>
      </c>
      <c r="H85" s="19">
        <f t="shared" si="15"/>
        <v>-0.60000000000000009</v>
      </c>
      <c r="I85" s="19">
        <f t="shared" si="15"/>
        <v>0.60000000000000009</v>
      </c>
      <c r="J85" s="19">
        <f t="shared" si="15"/>
        <v>1</v>
      </c>
      <c r="K85" s="19">
        <f t="shared" si="15"/>
        <v>1</v>
      </c>
      <c r="L85" s="19">
        <f t="shared" si="15"/>
        <v>1</v>
      </c>
    </row>
    <row r="86" spans="3:14">
      <c r="C86" s="19">
        <f t="shared" si="10"/>
        <v>0.8</v>
      </c>
      <c r="D86" s="19">
        <f t="shared" ref="D86:L86" si="16">D76 * 2 -1</f>
        <v>-0.8</v>
      </c>
      <c r="E86" s="19">
        <f t="shared" si="16"/>
        <v>-0.8</v>
      </c>
      <c r="F86" s="19">
        <f t="shared" si="16"/>
        <v>0.8</v>
      </c>
      <c r="G86" s="19">
        <f t="shared" si="16"/>
        <v>-0.8</v>
      </c>
      <c r="H86" s="19">
        <f t="shared" si="16"/>
        <v>0.8</v>
      </c>
      <c r="I86" s="19">
        <f t="shared" si="16"/>
        <v>-0.8</v>
      </c>
      <c r="J86" s="19">
        <f t="shared" si="16"/>
        <v>-0.8</v>
      </c>
      <c r="K86" s="19">
        <f t="shared" si="16"/>
        <v>1</v>
      </c>
      <c r="L86" s="19">
        <f t="shared" si="16"/>
        <v>-0.8</v>
      </c>
    </row>
    <row r="87" spans="3:14">
      <c r="C87" s="19">
        <f t="shared" si="10"/>
        <v>-0.8</v>
      </c>
      <c r="D87" s="19">
        <f t="shared" ref="D87:L87" si="17">D77 * 2 -1</f>
        <v>0.8</v>
      </c>
      <c r="E87" s="19">
        <f t="shared" si="17"/>
        <v>-0.8</v>
      </c>
      <c r="F87" s="19">
        <f t="shared" si="17"/>
        <v>0.8</v>
      </c>
      <c r="G87" s="19">
        <f t="shared" si="17"/>
        <v>0.8</v>
      </c>
      <c r="H87" s="19">
        <f t="shared" si="17"/>
        <v>0.8</v>
      </c>
      <c r="I87" s="19">
        <f t="shared" si="17"/>
        <v>-0.8</v>
      </c>
      <c r="J87" s="19">
        <f t="shared" si="17"/>
        <v>1</v>
      </c>
      <c r="K87" s="19">
        <f t="shared" si="17"/>
        <v>-0.8</v>
      </c>
      <c r="L87" s="19">
        <f t="shared" si="17"/>
        <v>-0.8</v>
      </c>
    </row>
    <row r="88" spans="3:14">
      <c r="C88" s="19">
        <f t="shared" si="10"/>
        <v>-0.6</v>
      </c>
      <c r="D88" s="19">
        <f t="shared" ref="D88:L88" si="18">D78 * 2 -1</f>
        <v>-0.6</v>
      </c>
      <c r="E88" s="19">
        <f t="shared" si="18"/>
        <v>-0.6</v>
      </c>
      <c r="F88" s="19">
        <f t="shared" si="18"/>
        <v>-0.6</v>
      </c>
      <c r="G88" s="19">
        <f t="shared" si="18"/>
        <v>0.60000000000000009</v>
      </c>
      <c r="H88" s="19">
        <f t="shared" si="18"/>
        <v>-0.6</v>
      </c>
      <c r="I88" s="19">
        <f t="shared" si="18"/>
        <v>0.60000000000000009</v>
      </c>
      <c r="J88" s="19">
        <f t="shared" si="18"/>
        <v>1</v>
      </c>
      <c r="K88" s="19">
        <f t="shared" si="18"/>
        <v>1</v>
      </c>
      <c r="L88" s="19">
        <f t="shared" si="18"/>
        <v>1</v>
      </c>
    </row>
    <row r="90" spans="3:14">
      <c r="C90" s="2" t="s">
        <v>300</v>
      </c>
    </row>
    <row r="92" spans="3:14">
      <c r="C92" s="2" t="s">
        <v>314</v>
      </c>
    </row>
    <row r="94" spans="3:14">
      <c r="C94" s="31" t="s">
        <v>304</v>
      </c>
      <c r="D94" s="31" t="s">
        <v>301</v>
      </c>
      <c r="E94" s="31" t="s">
        <v>307</v>
      </c>
      <c r="F94" s="31" t="s">
        <v>171</v>
      </c>
      <c r="G94" s="31" t="s">
        <v>309</v>
      </c>
      <c r="H94" s="31" t="s">
        <v>310</v>
      </c>
    </row>
    <row r="95" spans="3:14">
      <c r="C95" s="2" t="s">
        <v>305</v>
      </c>
      <c r="D95" s="2" t="s">
        <v>302</v>
      </c>
      <c r="K95" s="31" t="s">
        <v>325</v>
      </c>
    </row>
    <row r="96" spans="3:14">
      <c r="C96" s="2" t="s">
        <v>306</v>
      </c>
      <c r="E96" s="2" t="s">
        <v>306</v>
      </c>
      <c r="F96" s="2" t="s">
        <v>308</v>
      </c>
      <c r="G96" s="2" t="s">
        <v>305</v>
      </c>
      <c r="H96" s="2" t="s">
        <v>311</v>
      </c>
      <c r="I96" s="2" t="s">
        <v>23</v>
      </c>
      <c r="K96" s="2" t="s">
        <v>306</v>
      </c>
      <c r="L96" s="2" t="s">
        <v>323</v>
      </c>
      <c r="M96" s="2" t="s">
        <v>326</v>
      </c>
      <c r="N96" s="2" t="s">
        <v>324</v>
      </c>
    </row>
    <row r="97" spans="3:15">
      <c r="C97" s="2" t="s">
        <v>316</v>
      </c>
      <c r="E97" s="2" t="s">
        <v>305</v>
      </c>
      <c r="F97" s="2" t="s">
        <v>312</v>
      </c>
      <c r="G97" s="2" t="s">
        <v>313</v>
      </c>
      <c r="H97" s="2" t="s">
        <v>315</v>
      </c>
      <c r="I97" s="2" t="s">
        <v>24</v>
      </c>
      <c r="K97" s="2" t="s">
        <v>327</v>
      </c>
      <c r="L97" s="2" t="s">
        <v>328</v>
      </c>
      <c r="M97" s="2" t="s">
        <v>329</v>
      </c>
    </row>
    <row r="98" spans="3:15">
      <c r="D98" s="2" t="s">
        <v>303</v>
      </c>
      <c r="L98" s="2" t="s">
        <v>330</v>
      </c>
      <c r="M98" s="2" t="s">
        <v>329</v>
      </c>
    </row>
    <row r="99" spans="3:15">
      <c r="C99" s="2" t="s">
        <v>316</v>
      </c>
      <c r="E99" s="2" t="s">
        <v>316</v>
      </c>
      <c r="F99" s="2" t="s">
        <v>317</v>
      </c>
      <c r="G99" s="2" t="s">
        <v>318</v>
      </c>
      <c r="I99" s="2" t="s">
        <v>25</v>
      </c>
      <c r="K99" s="2" t="s">
        <v>331</v>
      </c>
      <c r="L99" s="2" t="s">
        <v>330</v>
      </c>
      <c r="M99" s="2" t="s">
        <v>329</v>
      </c>
      <c r="O99" s="2" t="s">
        <v>332</v>
      </c>
    </row>
    <row r="100" spans="3:15">
      <c r="C100" s="2" t="s">
        <v>318</v>
      </c>
      <c r="L100" s="2" t="s">
        <v>328</v>
      </c>
      <c r="M100" s="2" t="s">
        <v>329</v>
      </c>
      <c r="O100" s="2" t="s">
        <v>332</v>
      </c>
    </row>
    <row r="102" spans="3:15">
      <c r="C102" s="2" t="s">
        <v>319</v>
      </c>
    </row>
    <row r="103" spans="3:15">
      <c r="D103" s="31" t="s">
        <v>320</v>
      </c>
      <c r="F103" s="2" t="s">
        <v>321</v>
      </c>
    </row>
    <row r="104" spans="3:15">
      <c r="F104" s="2" t="s">
        <v>322</v>
      </c>
    </row>
  </sheetData>
  <mergeCells count="48"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C22:P22"/>
    <mergeCell ref="K9:P9"/>
    <mergeCell ref="K10:P10"/>
    <mergeCell ref="K11:P11"/>
    <mergeCell ref="K12:P12"/>
    <mergeCell ref="C7:I7"/>
    <mergeCell ref="D12:I12"/>
    <mergeCell ref="D11:I11"/>
    <mergeCell ref="D10:I10"/>
    <mergeCell ref="D9:I9"/>
    <mergeCell ref="C80:L80"/>
    <mergeCell ref="C64:L64"/>
    <mergeCell ref="C70:L70"/>
    <mergeCell ref="K33:P33"/>
    <mergeCell ref="D33:I33"/>
    <mergeCell ref="F36:P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B2" sqref="B2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349</v>
      </c>
      <c r="D5" s="3" t="s">
        <v>268</v>
      </c>
    </row>
    <row r="6" spans="2:4">
      <c r="B6" s="3" t="s">
        <v>266</v>
      </c>
      <c r="C6" s="3" t="s">
        <v>333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3" t="s">
        <v>68</v>
      </c>
      <c r="C2" s="83"/>
      <c r="D2" s="83"/>
      <c r="E2" s="83"/>
    </row>
    <row r="3" spans="2:33">
      <c r="B3" s="83"/>
      <c r="C3" s="83"/>
      <c r="D3" s="83"/>
      <c r="E3" s="83"/>
      <c r="M3" s="31"/>
    </row>
    <row r="4" spans="2:33">
      <c r="B4" s="83"/>
      <c r="C4" s="83"/>
      <c r="D4" s="83"/>
      <c r="E4" s="83"/>
    </row>
    <row r="5" spans="2:33">
      <c r="B5" s="83"/>
      <c r="C5" s="83"/>
      <c r="D5" s="83"/>
      <c r="E5" s="83"/>
    </row>
    <row r="6" spans="2:33">
      <c r="B6" s="83"/>
      <c r="C6" s="83"/>
      <c r="D6" s="83"/>
      <c r="E6" s="83"/>
      <c r="O6" s="83" t="s">
        <v>33</v>
      </c>
      <c r="P6" s="83"/>
      <c r="Q6" s="83"/>
      <c r="R6" s="83"/>
    </row>
    <row r="7" spans="2:33">
      <c r="O7" s="83"/>
      <c r="P7" s="83"/>
      <c r="Q7" s="83"/>
      <c r="R7" s="83"/>
    </row>
    <row r="8" spans="2:33">
      <c r="C8" s="84" t="s">
        <v>8</v>
      </c>
      <c r="D8" s="84"/>
      <c r="E8" s="84"/>
      <c r="F8" s="84"/>
      <c r="G8" s="84"/>
      <c r="O8" s="83"/>
      <c r="P8" s="83"/>
      <c r="Q8" s="83"/>
      <c r="R8" s="83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3"/>
      <c r="P9" s="83"/>
      <c r="Q9" s="83"/>
      <c r="R9" s="83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3"/>
      <c r="P10" s="83"/>
      <c r="Q10" s="83"/>
      <c r="R10" s="83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3" t="s">
        <v>69</v>
      </c>
      <c r="C25" s="83"/>
      <c r="D25" s="83"/>
      <c r="E25" s="83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3"/>
      <c r="C26" s="83"/>
      <c r="D26" s="83"/>
      <c r="E26" s="83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3"/>
      <c r="C27" s="83"/>
      <c r="D27" s="83"/>
      <c r="E27" s="83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3"/>
      <c r="C28" s="83"/>
      <c r="D28" s="83"/>
      <c r="E28" s="83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3"/>
      <c r="C29" s="83"/>
      <c r="D29" s="83"/>
      <c r="E29" s="83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334</v>
      </c>
    </row>
    <row r="4" spans="2:14">
      <c r="C4" s="4" t="s">
        <v>381</v>
      </c>
    </row>
    <row r="5" spans="2:14">
      <c r="B5" s="3" t="s">
        <v>394</v>
      </c>
      <c r="C5" s="3" t="s">
        <v>335</v>
      </c>
    </row>
    <row r="6" spans="2:14">
      <c r="B6" s="3" t="s">
        <v>395</v>
      </c>
      <c r="C6" s="3" t="s">
        <v>350</v>
      </c>
    </row>
    <row r="8" spans="2:14">
      <c r="C8" s="4" t="s">
        <v>382</v>
      </c>
    </row>
    <row r="10" spans="2:14">
      <c r="C10" s="4" t="s">
        <v>383</v>
      </c>
    </row>
    <row r="11" spans="2:14">
      <c r="C11" s="4"/>
    </row>
    <row r="12" spans="2:14">
      <c r="C12" s="4" t="s">
        <v>385</v>
      </c>
    </row>
    <row r="13" spans="2:14">
      <c r="C13" s="4"/>
    </row>
    <row r="14" spans="2:14">
      <c r="C14" s="4"/>
    </row>
    <row r="16" spans="2:14">
      <c r="B16" s="4" t="s">
        <v>377</v>
      </c>
      <c r="J16" s="4" t="s">
        <v>378</v>
      </c>
      <c r="K16" s="3" t="s">
        <v>412</v>
      </c>
      <c r="L16" s="15" t="s">
        <v>135</v>
      </c>
      <c r="M16" s="3" t="s">
        <v>413</v>
      </c>
      <c r="N16" s="4"/>
    </row>
    <row r="18" spans="1:15" ht="17">
      <c r="A18" s="6"/>
      <c r="B18" s="6"/>
      <c r="C18" s="58" t="s">
        <v>307</v>
      </c>
      <c r="D18" s="58" t="s">
        <v>368</v>
      </c>
      <c r="E18" s="58" t="s">
        <v>369</v>
      </c>
      <c r="F18" s="58" t="s">
        <v>370</v>
      </c>
      <c r="G18" s="58" t="s">
        <v>310</v>
      </c>
      <c r="H18" s="58" t="s">
        <v>371</v>
      </c>
      <c r="I18" s="58" t="s">
        <v>372</v>
      </c>
      <c r="J18" s="58"/>
      <c r="K18" s="6"/>
      <c r="L18" s="6"/>
      <c r="M18" s="6"/>
    </row>
    <row r="19" spans="1:15" ht="39" customHeight="1">
      <c r="A19" s="63">
        <v>2</v>
      </c>
      <c r="B19" s="6" t="s">
        <v>97</v>
      </c>
      <c r="C19" s="6" t="s">
        <v>316</v>
      </c>
      <c r="D19" s="6" t="s">
        <v>379</v>
      </c>
      <c r="E19" s="6" t="s">
        <v>318</v>
      </c>
      <c r="F19" s="6" t="s">
        <v>123</v>
      </c>
      <c r="G19" s="6" t="s">
        <v>123</v>
      </c>
      <c r="H19" s="6" t="s">
        <v>374</v>
      </c>
      <c r="I19" s="6" t="s">
        <v>373</v>
      </c>
      <c r="J19" s="56" t="s">
        <v>396</v>
      </c>
      <c r="K19" s="59" t="s">
        <v>427</v>
      </c>
      <c r="L19" s="60" t="s">
        <v>110</v>
      </c>
      <c r="M19" s="59" t="s">
        <v>428</v>
      </c>
      <c r="O19" s="3" t="s">
        <v>429</v>
      </c>
    </row>
    <row r="20" spans="1:15" ht="39" customHeight="1">
      <c r="A20" s="63"/>
      <c r="B20" s="6" t="s">
        <v>98</v>
      </c>
      <c r="C20" s="6" t="s">
        <v>306</v>
      </c>
      <c r="D20" s="6" t="s">
        <v>379</v>
      </c>
      <c r="E20" s="6" t="s">
        <v>316</v>
      </c>
      <c r="F20" s="6"/>
      <c r="G20" s="6"/>
      <c r="H20" s="6" t="s">
        <v>375</v>
      </c>
      <c r="I20" s="6" t="s">
        <v>376</v>
      </c>
      <c r="J20" s="56" t="s">
        <v>405</v>
      </c>
      <c r="K20" s="59" t="s">
        <v>418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430</v>
      </c>
      <c r="L21" s="54" t="s">
        <v>110</v>
      </c>
      <c r="M21" s="3" t="s">
        <v>431</v>
      </c>
      <c r="O21" s="3" t="s">
        <v>439</v>
      </c>
    </row>
    <row r="22" spans="1:15" ht="39" customHeight="1">
      <c r="A22" s="6"/>
      <c r="B22" s="6" t="s">
        <v>97</v>
      </c>
      <c r="C22" s="6" t="s">
        <v>406</v>
      </c>
      <c r="D22" s="6" t="s">
        <v>323</v>
      </c>
      <c r="E22" s="6" t="s">
        <v>123</v>
      </c>
      <c r="F22" s="6" t="s">
        <v>408</v>
      </c>
      <c r="G22" s="6"/>
      <c r="H22" s="6"/>
      <c r="I22" s="6" t="s">
        <v>407</v>
      </c>
    </row>
    <row r="23" spans="1:15" ht="39" customHeight="1">
      <c r="A23" s="6"/>
      <c r="B23" s="6" t="s">
        <v>98</v>
      </c>
      <c r="C23" s="6" t="s">
        <v>406</v>
      </c>
      <c r="D23" s="6" t="s">
        <v>323</v>
      </c>
      <c r="E23" s="6" t="s">
        <v>123</v>
      </c>
      <c r="F23" s="6" t="s">
        <v>409</v>
      </c>
      <c r="G23" s="6"/>
      <c r="H23" s="6" t="s">
        <v>374</v>
      </c>
      <c r="I23" s="6" t="s">
        <v>407</v>
      </c>
    </row>
    <row r="24" spans="1:15" ht="39" customHeight="1">
      <c r="A24" s="6"/>
      <c r="B24" s="6" t="s">
        <v>99</v>
      </c>
      <c r="C24" s="6" t="s">
        <v>410</v>
      </c>
      <c r="D24" s="6" t="s">
        <v>433</v>
      </c>
      <c r="E24" s="6" t="s">
        <v>406</v>
      </c>
      <c r="F24" s="6"/>
      <c r="G24" s="6"/>
      <c r="H24" s="6" t="s">
        <v>438</v>
      </c>
      <c r="I24" s="6" t="s">
        <v>411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432</v>
      </c>
      <c r="E25" s="6" t="s">
        <v>406</v>
      </c>
      <c r="F25" s="6"/>
      <c r="G25" s="6"/>
      <c r="H25" s="6" t="s">
        <v>374</v>
      </c>
      <c r="I25" s="6" t="s">
        <v>434</v>
      </c>
      <c r="K25"/>
    </row>
    <row r="26" spans="1:15" ht="51" customHeight="1">
      <c r="A26" s="6"/>
      <c r="B26" s="6" t="s">
        <v>102</v>
      </c>
      <c r="C26" s="6" t="s">
        <v>414</v>
      </c>
      <c r="D26" s="6" t="s">
        <v>435</v>
      </c>
      <c r="E26" s="6" t="s">
        <v>436</v>
      </c>
      <c r="F26" s="6"/>
      <c r="G26" s="6"/>
      <c r="H26" s="6" t="s">
        <v>437</v>
      </c>
      <c r="I26" s="6" t="s">
        <v>417</v>
      </c>
    </row>
    <row r="27" spans="1:15" ht="39" customHeight="1">
      <c r="A27" s="6"/>
      <c r="B27" s="6" t="s">
        <v>436</v>
      </c>
      <c r="C27" s="6" t="s">
        <v>414</v>
      </c>
      <c r="D27" s="6" t="s">
        <v>415</v>
      </c>
      <c r="E27" s="6" t="s">
        <v>406</v>
      </c>
      <c r="F27" s="6"/>
      <c r="G27" s="6"/>
      <c r="H27" s="6" t="s">
        <v>416</v>
      </c>
      <c r="I27" s="6" t="s">
        <v>417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64" t="s">
        <v>419</v>
      </c>
      <c r="J29" s="64"/>
      <c r="K29" s="64"/>
      <c r="L29" s="64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380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384</v>
      </c>
      <c r="J32" s="55" t="s">
        <v>386</v>
      </c>
      <c r="K32" s="55" t="s">
        <v>387</v>
      </c>
      <c r="L32" s="55" t="s">
        <v>386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388</v>
      </c>
      <c r="J33" s="55" t="s">
        <v>389</v>
      </c>
      <c r="K33" s="55" t="s">
        <v>390</v>
      </c>
      <c r="L33" s="55" t="s">
        <v>391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392</v>
      </c>
      <c r="J34" s="55" t="s">
        <v>402</v>
      </c>
      <c r="K34" s="62" t="s">
        <v>393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380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384</v>
      </c>
      <c r="J37" s="55" t="s">
        <v>397</v>
      </c>
      <c r="K37" s="55" t="s">
        <v>387</v>
      </c>
      <c r="L37" s="55" t="s">
        <v>397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388</v>
      </c>
      <c r="J38" s="55" t="s">
        <v>398</v>
      </c>
      <c r="K38" s="55" t="s">
        <v>390</v>
      </c>
      <c r="L38" s="55" t="s">
        <v>399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423</v>
      </c>
      <c r="J39" s="55" t="s">
        <v>403</v>
      </c>
      <c r="K39" s="62" t="s">
        <v>424</v>
      </c>
      <c r="L39" s="62" t="s">
        <v>426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392</v>
      </c>
      <c r="J40" s="55" t="s">
        <v>402</v>
      </c>
      <c r="K40" s="62" t="s">
        <v>393</v>
      </c>
      <c r="L40" s="62" t="s">
        <v>425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380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384</v>
      </c>
      <c r="J43" s="55" t="s">
        <v>397</v>
      </c>
      <c r="K43" s="55" t="s">
        <v>387</v>
      </c>
      <c r="L43" s="55" t="s">
        <v>397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388</v>
      </c>
      <c r="J44" s="55" t="s">
        <v>389</v>
      </c>
      <c r="K44" s="55" t="s">
        <v>400</v>
      </c>
      <c r="L44" s="55" t="s">
        <v>391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401</v>
      </c>
      <c r="J45" s="55" t="s">
        <v>404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64" t="s">
        <v>420</v>
      </c>
      <c r="J47" s="64"/>
      <c r="K47" s="64"/>
      <c r="L47" s="64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380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384</v>
      </c>
      <c r="J50" s="55" t="s">
        <v>422</v>
      </c>
      <c r="K50" s="55" t="s">
        <v>387</v>
      </c>
      <c r="L50" s="55" t="s">
        <v>421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388</v>
      </c>
      <c r="J51" s="55" t="s">
        <v>389</v>
      </c>
      <c r="K51" s="55" t="s">
        <v>390</v>
      </c>
      <c r="L51" s="55" t="s">
        <v>391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392</v>
      </c>
      <c r="J52" s="55" t="s">
        <v>402</v>
      </c>
      <c r="K52" s="62" t="s">
        <v>393</v>
      </c>
      <c r="L52" s="62" t="s">
        <v>425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423</v>
      </c>
      <c r="J53" s="55" t="s">
        <v>403</v>
      </c>
      <c r="K53" s="62" t="s">
        <v>424</v>
      </c>
      <c r="L53" s="62" t="s">
        <v>426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B2:J21"/>
  <sheetViews>
    <sheetView tabSelected="1" zoomScale="187" workbookViewId="0">
      <selection activeCell="C21" sqref="C21"/>
    </sheetView>
  </sheetViews>
  <sheetFormatPr baseColWidth="10" defaultRowHeight="16"/>
  <cols>
    <col min="2" max="2" width="4.5" style="85" customWidth="1"/>
    <col min="9" max="9" width="4.33203125" style="89" customWidth="1"/>
  </cols>
  <sheetData>
    <row r="2" spans="2:10" ht="26">
      <c r="B2" s="87" t="s">
        <v>440</v>
      </c>
    </row>
    <row r="4" spans="2:10">
      <c r="B4" s="88" t="s">
        <v>441</v>
      </c>
    </row>
    <row r="5" spans="2:10">
      <c r="C5" t="s">
        <v>444</v>
      </c>
      <c r="I5" s="90" t="s">
        <v>450</v>
      </c>
    </row>
    <row r="7" spans="2:10">
      <c r="B7" s="85">
        <v>1</v>
      </c>
      <c r="C7" t="s">
        <v>443</v>
      </c>
      <c r="I7" s="89">
        <v>1</v>
      </c>
      <c r="J7" t="s">
        <v>451</v>
      </c>
    </row>
    <row r="8" spans="2:10">
      <c r="B8" s="85">
        <v>2</v>
      </c>
      <c r="C8" t="s">
        <v>453</v>
      </c>
      <c r="I8" s="89">
        <v>2</v>
      </c>
      <c r="J8" t="s">
        <v>452</v>
      </c>
    </row>
    <row r="9" spans="2:10">
      <c r="B9" s="85">
        <v>3</v>
      </c>
      <c r="C9" t="s">
        <v>454</v>
      </c>
    </row>
    <row r="10" spans="2:10">
      <c r="B10" s="85">
        <v>4</v>
      </c>
      <c r="C10" t="s">
        <v>445</v>
      </c>
    </row>
    <row r="12" spans="2:10">
      <c r="C12" t="s">
        <v>442</v>
      </c>
    </row>
    <row r="14" spans="2:10">
      <c r="B14" s="85">
        <v>1</v>
      </c>
      <c r="C14" t="s">
        <v>448</v>
      </c>
    </row>
    <row r="15" spans="2:10">
      <c r="B15" s="85">
        <v>2</v>
      </c>
      <c r="C15" t="s">
        <v>447</v>
      </c>
    </row>
    <row r="16" spans="2:10">
      <c r="B16" s="85">
        <v>3</v>
      </c>
      <c r="C16" t="s">
        <v>446</v>
      </c>
    </row>
    <row r="18" spans="2:3">
      <c r="B18" s="86" t="s">
        <v>449</v>
      </c>
    </row>
    <row r="19" spans="2:3">
      <c r="B19" s="85">
        <v>1</v>
      </c>
      <c r="C19" t="s">
        <v>455</v>
      </c>
    </row>
    <row r="20" spans="2:3">
      <c r="B20" s="85">
        <v>2</v>
      </c>
      <c r="C20" t="s">
        <v>457</v>
      </c>
    </row>
    <row r="21" spans="2:3">
      <c r="B21" s="85">
        <v>3</v>
      </c>
      <c r="C21" t="s">
        <v>456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 schema</vt:lpstr>
      <vt:lpstr>Key Concepts</vt:lpstr>
      <vt:lpstr>LL</vt:lpstr>
      <vt:lpstr>Components</vt:lpstr>
      <vt:lpstr>Test sheet Similarity</vt:lpstr>
      <vt:lpstr>Test sheet LL</vt:lpstr>
      <vt:lpstr>Compiler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</cp:lastModifiedBy>
  <dcterms:created xsi:type="dcterms:W3CDTF">2026-03-30T08:40:48Z</dcterms:created>
  <dcterms:modified xsi:type="dcterms:W3CDTF">2026-06-04T07:25:24Z</dcterms:modified>
</cp:coreProperties>
</file>