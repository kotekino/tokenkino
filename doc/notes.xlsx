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zosala/Develop/personal/tokenkino/doc/"/>
    </mc:Choice>
  </mc:AlternateContent>
  <xr:revisionPtr revIDLastSave="0" documentId="13_ncr:1_{F3A6565F-AE36-E84B-A2A4-1FDDE567F600}" xr6:coauthVersionLast="47" xr6:coauthVersionMax="47" xr10:uidLastSave="{00000000-0000-0000-0000-000000000000}"/>
  <bookViews>
    <workbookView xWindow="0" yWindow="780" windowWidth="36000" windowHeight="21420" activeTab="1" xr2:uid="{ED098269-B10A-E440-BCE3-AF4955707036}"/>
  </bookViews>
  <sheets>
    <sheet name="General schema" sheetId="1" r:id="rId1"/>
    <sheet name="Key Concepts" sheetId="3" r:id="rId2"/>
    <sheet name="Test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G33" i="2"/>
  <c r="G32" i="2"/>
  <c r="AD16" i="2"/>
  <c r="AF16" i="2" s="1"/>
  <c r="AD17" i="2"/>
  <c r="AG17" i="2" s="1"/>
  <c r="AD18" i="2"/>
  <c r="AE18" i="2" s="1"/>
  <c r="AD19" i="2"/>
  <c r="AE19" i="2" s="1"/>
  <c r="AD20" i="2"/>
  <c r="AG20" i="2" s="1"/>
  <c r="AD21" i="2"/>
  <c r="AG21" i="2" s="1"/>
  <c r="AD22" i="2"/>
  <c r="AG22" i="2" s="1"/>
  <c r="AD23" i="2"/>
  <c r="AG23" i="2" s="1"/>
  <c r="AD24" i="2"/>
  <c r="AF24" i="2" s="1"/>
  <c r="AD25" i="2"/>
  <c r="AE25" i="2" s="1"/>
  <c r="AD26" i="2"/>
  <c r="AF26" i="2" s="1"/>
  <c r="AD27" i="2"/>
  <c r="AG27" i="2" s="1"/>
  <c r="AD28" i="2"/>
  <c r="AF28" i="2" s="1"/>
  <c r="AD29" i="2"/>
  <c r="AE29" i="2" s="1"/>
  <c r="AD30" i="2"/>
  <c r="AE30" i="2" s="1"/>
  <c r="AD31" i="2"/>
  <c r="AG31" i="2" s="1"/>
  <c r="AD33" i="2"/>
  <c r="AG33" i="2" s="1"/>
  <c r="AD34" i="2"/>
  <c r="AG34" i="2" s="1"/>
  <c r="AD35" i="2"/>
  <c r="AF35" i="2" s="1"/>
  <c r="AD36" i="2"/>
  <c r="AE36" i="2" s="1"/>
  <c r="AD37" i="2"/>
  <c r="AG37" i="2" s="1"/>
  <c r="AD38" i="2"/>
  <c r="AF38" i="2" s="1"/>
  <c r="AD40" i="2"/>
  <c r="AG40" i="2" s="1"/>
  <c r="AD41" i="2"/>
  <c r="AE41" i="2" s="1"/>
  <c r="AD42" i="2"/>
  <c r="AG42" i="2" s="1"/>
  <c r="AG16" i="2"/>
  <c r="AG30" i="2"/>
  <c r="AF23" i="2"/>
  <c r="AF34" i="2"/>
  <c r="AF37" i="2"/>
  <c r="AF42" i="2"/>
  <c r="AE42" i="2"/>
  <c r="AE23" i="2"/>
  <c r="AE24" i="2"/>
  <c r="AE26" i="2"/>
  <c r="AE34" i="2"/>
  <c r="AE35" i="2"/>
  <c r="AE37" i="2"/>
  <c r="AE38" i="2"/>
  <c r="AD15" i="2"/>
  <c r="AF15" i="2" s="1"/>
  <c r="W42" i="2"/>
  <c r="X42" i="2"/>
  <c r="Y42" i="2"/>
  <c r="Z42" i="2"/>
  <c r="AA42" i="2"/>
  <c r="AB42" i="2"/>
  <c r="AC42" i="2" s="1"/>
  <c r="W41" i="2"/>
  <c r="X41" i="2"/>
  <c r="Y41" i="2" s="1"/>
  <c r="Z41" i="2"/>
  <c r="AB41" i="2"/>
  <c r="AC41" i="2" s="1"/>
  <c r="AC21" i="2"/>
  <c r="AC31" i="2"/>
  <c r="AC38" i="2"/>
  <c r="AB21" i="2"/>
  <c r="AB22" i="2"/>
  <c r="AC22" i="2" s="1"/>
  <c r="AB23" i="2"/>
  <c r="AC23" i="2" s="1"/>
  <c r="AB24" i="2"/>
  <c r="AC24" i="2" s="1"/>
  <c r="AB25" i="2"/>
  <c r="AC25" i="2" s="1"/>
  <c r="AB26" i="2"/>
  <c r="AC26" i="2" s="1"/>
  <c r="AB27" i="2"/>
  <c r="AC27" i="2" s="1"/>
  <c r="AB28" i="2"/>
  <c r="AC28" i="2" s="1"/>
  <c r="AB29" i="2"/>
  <c r="AC29" i="2" s="1"/>
  <c r="AB30" i="2"/>
  <c r="AC30" i="2" s="1"/>
  <c r="AB31" i="2"/>
  <c r="AB33" i="2"/>
  <c r="AC33" i="2" s="1"/>
  <c r="AB34" i="2"/>
  <c r="AC34" i="2" s="1"/>
  <c r="AB35" i="2"/>
  <c r="AC35" i="2" s="1"/>
  <c r="AB36" i="2"/>
  <c r="AC36" i="2" s="1"/>
  <c r="AB37" i="2"/>
  <c r="AC37" i="2" s="1"/>
  <c r="AB38" i="2"/>
  <c r="AB40" i="2"/>
  <c r="AC40" i="2" s="1"/>
  <c r="AB20" i="2"/>
  <c r="AC20" i="2" s="1"/>
  <c r="AB19" i="2"/>
  <c r="AC19" i="2" s="1"/>
  <c r="AB18" i="2"/>
  <c r="AC18" i="2" s="1"/>
  <c r="AB17" i="2"/>
  <c r="AC17" i="2" s="1"/>
  <c r="AB16" i="2"/>
  <c r="AC16" i="2" s="1"/>
  <c r="AB15" i="2"/>
  <c r="AC15" i="2" s="1"/>
  <c r="AA36" i="2"/>
  <c r="Z18" i="2"/>
  <c r="AA18" i="2" s="1"/>
  <c r="Z19" i="2"/>
  <c r="Z20" i="2"/>
  <c r="Z21" i="2"/>
  <c r="Z22" i="2"/>
  <c r="AA22" i="2" s="1"/>
  <c r="Z23" i="2"/>
  <c r="Z24" i="2"/>
  <c r="Z25" i="2"/>
  <c r="AA25" i="2" s="1"/>
  <c r="Z26" i="2"/>
  <c r="AA26" i="2" s="1"/>
  <c r="Z27" i="2"/>
  <c r="AA27" i="2" s="1"/>
  <c r="Z28" i="2"/>
  <c r="AA28" i="2" s="1"/>
  <c r="Z29" i="2"/>
  <c r="Z30" i="2"/>
  <c r="Z31" i="2"/>
  <c r="Z33" i="2"/>
  <c r="AA33" i="2" s="1"/>
  <c r="Z34" i="2"/>
  <c r="Z35" i="2"/>
  <c r="Z36" i="2"/>
  <c r="Z37" i="2"/>
  <c r="AA37" i="2" s="1"/>
  <c r="Z38" i="2"/>
  <c r="AA38" i="2" s="1"/>
  <c r="Z40" i="2"/>
  <c r="AA40" i="2" s="1"/>
  <c r="Z17" i="2"/>
  <c r="AA17" i="2" s="1"/>
  <c r="Z16" i="2"/>
  <c r="AA16" i="2" s="1"/>
  <c r="Z15" i="2"/>
  <c r="AA15" i="2" s="1"/>
  <c r="X40" i="2"/>
  <c r="W40" i="2"/>
  <c r="W38" i="2"/>
  <c r="W37" i="2"/>
  <c r="W36" i="2"/>
  <c r="W35" i="2"/>
  <c r="W34" i="2"/>
  <c r="AA34" i="2" s="1"/>
  <c r="W33" i="2"/>
  <c r="W31" i="2"/>
  <c r="W30" i="2"/>
  <c r="W29" i="2"/>
  <c r="Y29" i="2" s="1"/>
  <c r="W28" i="2"/>
  <c r="Y28" i="2" s="1"/>
  <c r="W27" i="2"/>
  <c r="W26" i="2"/>
  <c r="W25" i="2"/>
  <c r="W24" i="2"/>
  <c r="W23" i="2"/>
  <c r="AA23" i="2" s="1"/>
  <c r="W22" i="2"/>
  <c r="W21" i="2"/>
  <c r="W20" i="2"/>
  <c r="X20" i="2"/>
  <c r="X21" i="2"/>
  <c r="X22" i="2"/>
  <c r="X23" i="2"/>
  <c r="X24" i="2"/>
  <c r="X25" i="2"/>
  <c r="X26" i="2"/>
  <c r="X27" i="2"/>
  <c r="X28" i="2"/>
  <c r="X29" i="2"/>
  <c r="X30" i="2"/>
  <c r="X31" i="2"/>
  <c r="X33" i="2"/>
  <c r="X34" i="2"/>
  <c r="X35" i="2"/>
  <c r="X36" i="2"/>
  <c r="X37" i="2"/>
  <c r="X38" i="2"/>
  <c r="X15" i="2"/>
  <c r="Y15" i="2" s="1"/>
  <c r="X16" i="2"/>
  <c r="Y16" i="2" s="1"/>
  <c r="X17" i="2"/>
  <c r="Y17" i="2" s="1"/>
  <c r="X18" i="2"/>
  <c r="Y18" i="2" s="1"/>
  <c r="X19" i="2"/>
  <c r="W19" i="2"/>
  <c r="AE33" i="2" l="1"/>
  <c r="AF31" i="2"/>
  <c r="Y19" i="2"/>
  <c r="AA24" i="2"/>
  <c r="AF30" i="2"/>
  <c r="Y20" i="2"/>
  <c r="Y30" i="2"/>
  <c r="AA31" i="2"/>
  <c r="AA21" i="2"/>
  <c r="Y21" i="2"/>
  <c r="Y31" i="2"/>
  <c r="AA30" i="2"/>
  <c r="AA20" i="2"/>
  <c r="AE22" i="2"/>
  <c r="AF22" i="2"/>
  <c r="AA35" i="2"/>
  <c r="AF33" i="2"/>
  <c r="Y22" i="2"/>
  <c r="AA29" i="2"/>
  <c r="AA19" i="2"/>
  <c r="AE40" i="2"/>
  <c r="AF20" i="2"/>
  <c r="Y33" i="2"/>
  <c r="AE28" i="2"/>
  <c r="AE17" i="2"/>
  <c r="AG38" i="2"/>
  <c r="Y40" i="2"/>
  <c r="AA41" i="2"/>
  <c r="AE15" i="2"/>
  <c r="AE27" i="2"/>
  <c r="AE16" i="2"/>
  <c r="AF21" i="2"/>
  <c r="AF19" i="2"/>
  <c r="AF18" i="2"/>
  <c r="AG28" i="2"/>
  <c r="Y34" i="2"/>
  <c r="AF29" i="2"/>
  <c r="AG26" i="2"/>
  <c r="Y25" i="2"/>
  <c r="Y36" i="2"/>
  <c r="AE31" i="2"/>
  <c r="AE20" i="2"/>
  <c r="AF41" i="2"/>
  <c r="AF27" i="2"/>
  <c r="AG15" i="2"/>
  <c r="AG19" i="2"/>
  <c r="AG29" i="2"/>
  <c r="AF17" i="2"/>
  <c r="Y24" i="2"/>
  <c r="AE21" i="2"/>
  <c r="Y26" i="2"/>
  <c r="Y37" i="2"/>
  <c r="AF40" i="2"/>
  <c r="AG41" i="2"/>
  <c r="AG18" i="2"/>
  <c r="Y23" i="2"/>
  <c r="Y35" i="2"/>
  <c r="Y27" i="2"/>
  <c r="Y38" i="2"/>
  <c r="C36" i="2"/>
  <c r="C37" i="2" s="1"/>
  <c r="C39" i="2" s="1"/>
  <c r="AG36" i="2"/>
  <c r="AG25" i="2"/>
  <c r="AG35" i="2"/>
  <c r="AG24" i="2"/>
  <c r="AF36" i="2"/>
  <c r="AF25" i="2"/>
  <c r="C38" i="2" l="1"/>
  <c r="C40" i="2" s="1"/>
</calcChain>
</file>

<file path=xl/sharedStrings.xml><?xml version="1.0" encoding="utf-8"?>
<sst xmlns="http://schemas.openxmlformats.org/spreadsheetml/2006/main" count="292" uniqueCount="177">
  <si>
    <t>essere</t>
  </si>
  <si>
    <t>io</t>
  </si>
  <si>
    <t>sono</t>
  </si>
  <si>
    <t>umano</t>
  </si>
  <si>
    <t>felice</t>
  </si>
  <si>
    <t xml:space="preserve">io </t>
  </si>
  <si>
    <t>fame</t>
  </si>
  <si>
    <t>creatura</t>
  </si>
  <si>
    <t>vector</t>
  </si>
  <si>
    <t>records</t>
  </si>
  <si>
    <t>triste</t>
  </si>
  <si>
    <t>ho</t>
  </si>
  <si>
    <t>dot</t>
  </si>
  <si>
    <t>v1</t>
  </si>
  <si>
    <t>v2</t>
  </si>
  <si>
    <t>cos(angle)</t>
  </si>
  <si>
    <t>magnitude</t>
  </si>
  <si>
    <t>degrees</t>
  </si>
  <si>
    <t>similarity</t>
  </si>
  <si>
    <t>pi</t>
  </si>
  <si>
    <t>vA</t>
  </si>
  <si>
    <t>vB</t>
  </si>
  <si>
    <t>Vettori semantici: su vettore fisso o su vettore mobile?</t>
  </si>
  <si>
    <t>a</t>
  </si>
  <si>
    <t>b</t>
  </si>
  <si>
    <t>c</t>
  </si>
  <si>
    <t>max</t>
  </si>
  <si>
    <t>d</t>
  </si>
  <si>
    <t>%</t>
  </si>
  <si>
    <t>e</t>
  </si>
  <si>
    <t>f</t>
  </si>
  <si>
    <t>lemmi</t>
  </si>
  <si>
    <t>..</t>
  </si>
  <si>
    <t>DB</t>
  </si>
  <si>
    <t>token</t>
  </si>
  <si>
    <t>value</t>
  </si>
  <si>
    <t>min</t>
  </si>
  <si>
    <t>use</t>
  </si>
  <si>
    <t>pos</t>
  </si>
  <si>
    <t>DB1 bytes</t>
  </si>
  <si>
    <t>DB1 Gbytes</t>
  </si>
  <si>
    <t>DB1</t>
  </si>
  <si>
    <t>full</t>
  </si>
  <si>
    <t>…</t>
  </si>
  <si>
    <t>DB2</t>
  </si>
  <si>
    <t>DB2 bytes</t>
  </si>
  <si>
    <t>DB1 Mbytes</t>
  </si>
  <si>
    <t>DB1 Kbytes</t>
  </si>
  <si>
    <t>Risposte</t>
  </si>
  <si>
    <t>Parole da usare</t>
  </si>
  <si>
    <t>4096, come le dimensioni del vettore</t>
  </si>
  <si>
    <t>In memory or db?</t>
  </si>
  <si>
    <t>Sinonimi</t>
  </si>
  <si>
    <t>TBD</t>
  </si>
  <si>
    <t>TBD (memory or mongo)</t>
  </si>
  <si>
    <t>v3</t>
  </si>
  <si>
    <t>v4</t>
  </si>
  <si>
    <t>angle</t>
  </si>
  <si>
    <t>Dimensione fissa: 4096</t>
  </si>
  <si>
    <t>Append dopo le parole principali, duplica record di cui è sinonimo + phase (-1 to 1 che rappresenta la somiglianza massima (1) o la negazione massima (-1))</t>
  </si>
  <si>
    <t>Modeling</t>
  </si>
  <si>
    <t>word</t>
  </si>
  <si>
    <t>string</t>
  </si>
  <si>
    <t>semantic_vector</t>
  </si>
  <si>
    <t>vector[4096]</t>
  </si>
  <si>
    <t>phase</t>
  </si>
  <si>
    <t>float</t>
  </si>
  <si>
    <t>_id</t>
  </si>
  <si>
    <t>objectId</t>
  </si>
  <si>
    <t>MATRIX</t>
  </si>
  <si>
    <t>SIMILARITY</t>
  </si>
  <si>
    <t>ogni parola del vocabolario è definita come un vettore di valori, che rappresentano la somiglianza con un'altra parola del vocabolario</t>
  </si>
  <si>
    <t>memoria = tutti gli input ricevuti (interni ed esterni)</t>
  </si>
  <si>
    <t>attività permanente: pensiero (usa memoria)</t>
  </si>
  <si>
    <t>input: multiple sources (le cose o persone con cui interagisce, la sua memoria)</t>
  </si>
  <si>
    <t>pensiero + input: genera output nel tempo (tempo variabile è parte dell'output)</t>
  </si>
  <si>
    <t>db semantico: key words (4096 base + sinonimi e contrari)</t>
  </si>
  <si>
    <t>input verbale LLM -&gt; db semantico -&gt; processo -&gt; db new set -&gt; LLM -&gt; output verbale</t>
  </si>
  <si>
    <t>Note</t>
  </si>
  <si>
    <t>base</t>
  </si>
  <si>
    <t>type</t>
  </si>
  <si>
    <t>note</t>
  </si>
  <si>
    <t>field</t>
  </si>
  <si>
    <t>reference_id</t>
  </si>
  <si>
    <t>objectid</t>
  </si>
  <si>
    <t>reference_ids</t>
  </si>
  <si>
    <t>objectId[]</t>
  </si>
  <si>
    <t>rappresenta la tabella base, dove ci sonoiI valori semantici memorizzati originari</t>
  </si>
  <si>
    <t>bool</t>
  </si>
  <si>
    <t>non</t>
  </si>
  <si>
    <t>avg(a,b)</t>
  </si>
  <si>
    <t>itriste</t>
  </si>
  <si>
    <t>must be equal to</t>
  </si>
  <si>
    <t>advanced1</t>
  </si>
  <si>
    <t>base1</t>
  </si>
  <si>
    <t>base2</t>
  </si>
  <si>
    <t>base3</t>
  </si>
  <si>
    <t>compound1</t>
  </si>
  <si>
    <t>A</t>
  </si>
  <si>
    <t>B</t>
  </si>
  <si>
    <t>C</t>
  </si>
  <si>
    <t>D</t>
  </si>
  <si>
    <t>A,B</t>
  </si>
  <si>
    <t>E</t>
  </si>
  <si>
    <t>mogio</t>
  </si>
  <si>
    <t>avg(A.phase,B.phase)</t>
  </si>
  <si>
    <t>NOT b</t>
  </si>
  <si>
    <t>processed vector (phase + vector)</t>
  </si>
  <si>
    <t>Analisi: 1 vettore -&gt; molti vettori</t>
  </si>
  <si>
    <t>Sintesi: molti vettori -&gt; 1 vettore</t>
  </si>
  <si>
    <t>Frase</t>
  </si>
  <si>
    <t>-&gt;</t>
  </si>
  <si>
    <t>analisi</t>
  </si>
  <si>
    <t>&lt;-</t>
  </si>
  <si>
    <t>sintesi</t>
  </si>
  <si>
    <t>word[] -&gt; word</t>
  </si>
  <si>
    <t>Da un valore semantico a un array di parole</t>
  </si>
  <si>
    <t>word &lt;- word[]</t>
  </si>
  <si>
    <t>Scompone un valore semantico in un array di parole</t>
  </si>
  <si>
    <t>Processes</t>
  </si>
  <si>
    <r>
      <rPr>
        <b/>
        <sz val="12"/>
        <color theme="1"/>
        <rFont val="Aptos Narrow"/>
        <scheme val="minor"/>
      </rPr>
      <t>Ingestion advanced</t>
    </r>
    <r>
      <rPr>
        <sz val="12"/>
        <color theme="1"/>
        <rFont val="Aptos Narrow"/>
        <family val="2"/>
        <scheme val="minor"/>
      </rPr>
      <t>: per ogni parola LLM assegna la fase della parola base scelta come reference</t>
    </r>
  </si>
  <si>
    <r>
      <rPr>
        <b/>
        <sz val="12"/>
        <color theme="1"/>
        <rFont val="Aptos Narrow"/>
        <scheme val="minor"/>
      </rPr>
      <t xml:space="preserve">Ingestion: </t>
    </r>
    <r>
      <rPr>
        <sz val="12"/>
        <color theme="1"/>
        <rFont val="Aptos Narrow"/>
        <scheme val="minor"/>
      </rPr>
      <t>per ogni parola LLM assegna un vettore relativo a tutte le altre parole base</t>
    </r>
  </si>
  <si>
    <t>oppure</t>
  </si>
  <si>
    <r>
      <t xml:space="preserve">criterio di somiglianza: </t>
    </r>
    <r>
      <rPr>
        <sz val="12"/>
        <color theme="1"/>
        <rFont val="Aptos Narrow"/>
        <scheme val="minor"/>
      </rPr>
      <t>0 (ortogonale, neutro). 0-1 (somiglianza). -1-0 (discrepanza)</t>
    </r>
  </si>
  <si>
    <t>datetime</t>
  </si>
  <si>
    <t>timestamp</t>
  </si>
  <si>
    <t>base (db)</t>
  </si>
  <si>
    <t>-</t>
  </si>
  <si>
    <t>valore semantico</t>
  </si>
  <si>
    <t>quando</t>
  </si>
  <si>
    <t xml:space="preserve">rappresenta la tabella delle parole base + le estese (a coprire tutti I vocabolari, multilingua). </t>
  </si>
  <si>
    <t xml:space="preserve">tokenized word
</t>
  </si>
  <si>
    <t xml:space="preserve">relazione con il vettore delle parole base </t>
  </si>
  <si>
    <t>parte del vettore con cui tutto si relaziona</t>
  </si>
  <si>
    <t>gli id in ordine delle parole dal vocabulary referenziate</t>
  </si>
  <si>
    <t>mod_certainty</t>
  </si>
  <si>
    <t>mod_irony</t>
  </si>
  <si>
    <t>mod_volume</t>
  </si>
  <si>
    <r>
      <rPr>
        <b/>
        <i/>
        <sz val="12"/>
        <color theme="1"/>
        <rFont val="Aptos Narrow"/>
        <scheme val="minor"/>
      </rPr>
      <t>-&gt;</t>
    </r>
    <r>
      <rPr>
        <i/>
        <sz val="12"/>
        <color theme="1"/>
        <rFont val="Aptos Narrow"/>
        <scheme val="minor"/>
      </rPr>
      <t xml:space="preserve"> di tutti I vettori (massima sintesi)</t>
    </r>
  </si>
  <si>
    <r>
      <t xml:space="preserve">Op </t>
    </r>
    <r>
      <rPr>
        <b/>
        <sz val="12"/>
        <color theme="1"/>
        <rFont val="Aptos Narrow"/>
        <scheme val="minor"/>
      </rPr>
      <t>&lt;-</t>
    </r>
  </si>
  <si>
    <r>
      <t xml:space="preserve">Op </t>
    </r>
    <r>
      <rPr>
        <b/>
        <sz val="12"/>
        <color theme="1"/>
        <rFont val="Aptos Narrow"/>
        <scheme val="minor"/>
      </rPr>
      <t>-&gt;</t>
    </r>
  </si>
  <si>
    <t>significato</t>
  </si>
  <si>
    <t>op</t>
  </si>
  <si>
    <t>nome</t>
  </si>
  <si>
    <t>genera un pensiero (word &lt;- word[])</t>
  </si>
  <si>
    <t>io (db)</t>
  </si>
  <si>
    <t>rappresenta un input o un output verbale</t>
  </si>
  <si>
    <t>subject</t>
  </si>
  <si>
    <t>chi ha generato l'input (include self)</t>
  </si>
  <si>
    <t>io referenziato</t>
  </si>
  <si>
    <t>modificatore 2: da domanda/dubbio a certezza/affermazione</t>
  </si>
  <si>
    <t>modificatore 3: gain sulla magnitudine dei valori (-1 = -100%, 0 = nothing, 1 = +100%)</t>
  </si>
  <si>
    <t>modificatore 1: come negativo, ma agisce anche sul volume finale</t>
  </si>
  <si>
    <t>not</t>
  </si>
  <si>
    <t>prodotto scalare -1 (inverte la fase semantica di 180 gradi)</t>
  </si>
  <si>
    <t xml:space="preserve">analizza un input verbale (word[] -&gt; vector): </t>
  </si>
  <si>
    <t>operazione</t>
  </si>
  <si>
    <t>negazione</t>
  </si>
  <si>
    <t>prodotto scalare per ogni dimensione dei vettori coinvolti</t>
  </si>
  <si>
    <t>cerca insiemi di vettori la cui sintesi dia l'input (operazione inversa di sintesi)</t>
  </si>
  <si>
    <t>getVector</t>
  </si>
  <si>
    <t>prende il vettore e applica i modificatori: ritorna un vettore modificato</t>
  </si>
  <si>
    <t>working_memory (db)</t>
  </si>
  <si>
    <t>longterm_memory (db)</t>
  </si>
  <si>
    <t>log dei processi degli input</t>
  </si>
  <si>
    <t>Operazioni sui vectors</t>
  </si>
  <si>
    <t>due processi: semantico + astrazione logica</t>
  </si>
  <si>
    <r>
      <t xml:space="preserve">Processo dell'input: </t>
    </r>
    <r>
      <rPr>
        <sz val="12"/>
        <color theme="1"/>
        <rFont val="Aptos Narrow"/>
        <scheme val="minor"/>
      </rPr>
      <t>TBD</t>
    </r>
  </si>
  <si>
    <t>DOING</t>
  </si>
  <si>
    <r>
      <rPr>
        <b/>
        <sz val="12"/>
        <color theme="1"/>
        <rFont val="Aptos Narrow"/>
        <scheme val="minor"/>
      </rPr>
      <t>Ingestion advanced</t>
    </r>
    <r>
      <rPr>
        <sz val="12"/>
        <color theme="1"/>
        <rFont val="Aptos Narrow"/>
        <family val="2"/>
        <scheme val="minor"/>
      </rPr>
      <t>: per ogni parola non base LLM assegna vettore di somiglianza con tutte le altre parole</t>
    </r>
    <r>
      <rPr>
        <sz val="12"/>
        <color theme="1"/>
        <rFont val="Aptos Narrow"/>
        <scheme val="minor"/>
      </rPr>
      <t xml:space="preserve"> base</t>
    </r>
  </si>
  <si>
    <t>NLTK!!! Super libreria di linguaggio naturale</t>
  </si>
  <si>
    <t>Concetti chiave SSLM (Smart Semantic Language Model) : TokenKino</t>
  </si>
  <si>
    <t>dictionary (db)</t>
  </si>
  <si>
    <t>places (db)</t>
  </si>
  <si>
    <t>events (db)</t>
  </si>
  <si>
    <t>names (db)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</si>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</sst>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Aptos Narrow"/>
      <scheme val="minor"/>
    </font>
    <font>
      <sz val="30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3" borderId="0" xfId="2" applyAlignment="1">
      <alignment horizontal="center" vertical="center"/>
    </xf>
    <xf numFmtId="0" fontId="6" fillId="2" borderId="0" xfId="1" applyAlignment="1">
      <alignment horizontal="center" vertical="center"/>
    </xf>
    <xf numFmtId="0" fontId="8" fillId="4" borderId="0" xfId="3" applyAlignment="1">
      <alignment horizontal="center" vertical="center"/>
    </xf>
    <xf numFmtId="0" fontId="8" fillId="4" borderId="0" xfId="3"/>
    <xf numFmtId="0" fontId="6" fillId="2" borderId="0" xfId="1" applyAlignment="1">
      <alignment horizontal="center"/>
    </xf>
    <xf numFmtId="0" fontId="0" fillId="0" borderId="1" xfId="0" applyBorder="1"/>
    <xf numFmtId="0" fontId="8" fillId="4" borderId="2" xfId="3" applyBorder="1" applyAlignment="1">
      <alignment horizontal="center" vertical="center"/>
    </xf>
    <xf numFmtId="0" fontId="7" fillId="3" borderId="2" xfId="2" applyBorder="1" applyAlignment="1">
      <alignment horizontal="center" vertical="center"/>
    </xf>
    <xf numFmtId="0" fontId="6" fillId="2" borderId="2" xfId="1" applyBorder="1" applyAlignment="1">
      <alignment horizontal="center"/>
    </xf>
    <xf numFmtId="0" fontId="8" fillId="4" borderId="2" xfId="3" applyBorder="1"/>
    <xf numFmtId="0" fontId="8" fillId="5" borderId="3" xfId="3" applyFill="1" applyBorder="1"/>
    <xf numFmtId="0" fontId="8" fillId="5" borderId="4" xfId="3" applyFill="1" applyBorder="1"/>
    <xf numFmtId="0" fontId="8" fillId="5" borderId="5" xfId="3" applyFill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0" fontId="2" fillId="0" borderId="0" xfId="0" quotePrefix="1" applyFont="1" applyAlignment="1">
      <alignment vertical="top"/>
    </xf>
    <xf numFmtId="0" fontId="6" fillId="2" borderId="0" xfId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FE1F-0D37-9445-A6E8-05F7C4DAA139}">
  <sheetPr>
    <tabColor rgb="FF00B050"/>
  </sheetPr>
  <dimension ref="B2:N58"/>
  <sheetViews>
    <sheetView zoomScale="116" workbookViewId="0">
      <selection activeCell="C59" sqref="C59"/>
    </sheetView>
  </sheetViews>
  <sheetFormatPr baseColWidth="10" defaultRowHeight="16" x14ac:dyDescent="0.2"/>
  <cols>
    <col min="1" max="1" width="3.6640625" style="21" customWidth="1"/>
    <col min="2" max="2" width="3.1640625" style="21" bestFit="1" customWidth="1"/>
    <col min="3" max="3" width="23.5" style="21" customWidth="1"/>
    <col min="4" max="4" width="12.5" style="21" customWidth="1"/>
    <col min="5" max="6" width="10.83203125" style="21"/>
    <col min="7" max="7" width="2.5" style="21" customWidth="1"/>
    <col min="8" max="8" width="62.6640625" style="21" customWidth="1"/>
    <col min="9" max="10" width="10.83203125" style="21"/>
    <col min="11" max="11" width="35.33203125" style="21" customWidth="1"/>
    <col min="12" max="16384" width="10.83203125" style="21"/>
  </cols>
  <sheetData>
    <row r="2" spans="2:12" ht="27" x14ac:dyDescent="0.2">
      <c r="C2" s="22" t="s">
        <v>171</v>
      </c>
      <c r="I2" s="22" t="s">
        <v>165</v>
      </c>
    </row>
    <row r="3" spans="2:12" x14ac:dyDescent="0.2">
      <c r="I3" s="23" t="s">
        <v>142</v>
      </c>
      <c r="J3" s="23" t="s">
        <v>143</v>
      </c>
      <c r="K3" s="23" t="s">
        <v>141</v>
      </c>
      <c r="L3" s="23" t="s">
        <v>156</v>
      </c>
    </row>
    <row r="4" spans="2:12" x14ac:dyDescent="0.2">
      <c r="B4" s="23">
        <v>1</v>
      </c>
      <c r="C4" s="21" t="s">
        <v>71</v>
      </c>
      <c r="I4" s="35" t="s">
        <v>111</v>
      </c>
      <c r="J4" s="21" t="s">
        <v>114</v>
      </c>
      <c r="K4" s="21" t="s">
        <v>155</v>
      </c>
      <c r="L4" s="21" t="s">
        <v>158</v>
      </c>
    </row>
    <row r="5" spans="2:12" x14ac:dyDescent="0.2">
      <c r="B5" s="23">
        <v>2</v>
      </c>
      <c r="C5" s="21" t="s">
        <v>74</v>
      </c>
      <c r="I5" s="23" t="s">
        <v>113</v>
      </c>
      <c r="J5" s="21" t="s">
        <v>112</v>
      </c>
      <c r="K5" s="21" t="s">
        <v>144</v>
      </c>
      <c r="L5" s="21" t="s">
        <v>159</v>
      </c>
    </row>
    <row r="6" spans="2:12" x14ac:dyDescent="0.2">
      <c r="B6" s="23">
        <v>3</v>
      </c>
      <c r="C6" s="21" t="s">
        <v>73</v>
      </c>
      <c r="I6" s="21" t="s">
        <v>153</v>
      </c>
      <c r="J6" s="21" t="s">
        <v>153</v>
      </c>
      <c r="K6" s="21" t="s">
        <v>157</v>
      </c>
      <c r="L6" s="21" t="s">
        <v>154</v>
      </c>
    </row>
    <row r="7" spans="2:12" x14ac:dyDescent="0.2">
      <c r="B7" s="23">
        <v>4</v>
      </c>
      <c r="C7" s="21" t="s">
        <v>75</v>
      </c>
    </row>
    <row r="8" spans="2:12" x14ac:dyDescent="0.2">
      <c r="B8" s="23">
        <v>5</v>
      </c>
      <c r="C8" s="21" t="s">
        <v>76</v>
      </c>
    </row>
    <row r="9" spans="2:12" x14ac:dyDescent="0.2">
      <c r="B9" s="23">
        <v>6</v>
      </c>
      <c r="C9" s="21" t="s">
        <v>77</v>
      </c>
    </row>
    <row r="10" spans="2:12" x14ac:dyDescent="0.2">
      <c r="B10" s="23">
        <v>7</v>
      </c>
      <c r="C10" s="21" t="s">
        <v>72</v>
      </c>
    </row>
    <row r="11" spans="2:12" x14ac:dyDescent="0.2">
      <c r="B11" s="23">
        <v>8</v>
      </c>
      <c r="C11" s="23" t="s">
        <v>166</v>
      </c>
    </row>
    <row r="12" spans="2:12" x14ac:dyDescent="0.2">
      <c r="B12" s="23"/>
    </row>
    <row r="13" spans="2:12" ht="27" x14ac:dyDescent="0.2">
      <c r="C13" s="22" t="s">
        <v>78</v>
      </c>
      <c r="H13" s="22" t="s">
        <v>48</v>
      </c>
    </row>
    <row r="14" spans="2:12" x14ac:dyDescent="0.2">
      <c r="B14" s="23">
        <v>1</v>
      </c>
      <c r="C14" s="21" t="s">
        <v>22</v>
      </c>
      <c r="G14" s="21" t="s">
        <v>58</v>
      </c>
    </row>
    <row r="15" spans="2:12" x14ac:dyDescent="0.2">
      <c r="B15" s="23">
        <v>2</v>
      </c>
      <c r="C15" s="21" t="s">
        <v>49</v>
      </c>
      <c r="G15" s="21" t="s">
        <v>50</v>
      </c>
    </row>
    <row r="16" spans="2:12" x14ac:dyDescent="0.2">
      <c r="B16" s="23">
        <v>3</v>
      </c>
      <c r="C16" s="21" t="s">
        <v>52</v>
      </c>
      <c r="G16" s="21" t="s">
        <v>59</v>
      </c>
    </row>
    <row r="17" spans="2:14" x14ac:dyDescent="0.2">
      <c r="B17" s="23">
        <v>4</v>
      </c>
      <c r="C17" s="21" t="s">
        <v>51</v>
      </c>
      <c r="G17" s="21" t="s">
        <v>54</v>
      </c>
    </row>
    <row r="18" spans="2:14" x14ac:dyDescent="0.2">
      <c r="B18" s="23">
        <v>5</v>
      </c>
      <c r="C18" s="21" t="s">
        <v>110</v>
      </c>
      <c r="G18" s="21" t="s">
        <v>53</v>
      </c>
      <c r="H18" s="24"/>
    </row>
    <row r="19" spans="2:14" x14ac:dyDescent="0.2">
      <c r="B19" s="23">
        <v>6</v>
      </c>
      <c r="C19" s="21" t="s">
        <v>108</v>
      </c>
      <c r="G19" s="21" t="s">
        <v>139</v>
      </c>
      <c r="H19" s="24"/>
    </row>
    <row r="20" spans="2:14" x14ac:dyDescent="0.2">
      <c r="B20" s="23">
        <v>7</v>
      </c>
      <c r="C20" s="21" t="s">
        <v>109</v>
      </c>
      <c r="G20" s="21" t="s">
        <v>140</v>
      </c>
      <c r="H20" s="24"/>
    </row>
    <row r="21" spans="2:14" x14ac:dyDescent="0.2">
      <c r="B21" s="23">
        <v>8</v>
      </c>
      <c r="C21" s="21" t="s">
        <v>115</v>
      </c>
      <c r="G21" s="21" t="s">
        <v>116</v>
      </c>
      <c r="H21" s="24"/>
    </row>
    <row r="22" spans="2:14" x14ac:dyDescent="0.2">
      <c r="B22" s="23">
        <v>9</v>
      </c>
      <c r="C22" s="21" t="s">
        <v>117</v>
      </c>
      <c r="G22" s="21" t="s">
        <v>118</v>
      </c>
      <c r="H22" s="24"/>
    </row>
    <row r="23" spans="2:14" x14ac:dyDescent="0.2">
      <c r="B23" s="21">
        <v>10</v>
      </c>
      <c r="C23" s="21" t="s">
        <v>170</v>
      </c>
    </row>
    <row r="25" spans="2:14" ht="27" x14ac:dyDescent="0.2">
      <c r="C25" s="22" t="s">
        <v>60</v>
      </c>
      <c r="I25" s="22" t="s">
        <v>119</v>
      </c>
    </row>
    <row r="26" spans="2:14" ht="19" x14ac:dyDescent="0.2">
      <c r="C26" s="28" t="s">
        <v>82</v>
      </c>
      <c r="D26" s="28" t="s">
        <v>80</v>
      </c>
      <c r="E26" s="28" t="s">
        <v>81</v>
      </c>
      <c r="I26" s="26" t="s">
        <v>121</v>
      </c>
      <c r="N26" s="36" t="s">
        <v>168</v>
      </c>
    </row>
    <row r="27" spans="2:14" x14ac:dyDescent="0.2">
      <c r="I27" s="26" t="s">
        <v>120</v>
      </c>
    </row>
    <row r="28" spans="2:14" ht="19" x14ac:dyDescent="0.2">
      <c r="C28" s="28" t="s">
        <v>126</v>
      </c>
      <c r="D28" s="27" t="s">
        <v>87</v>
      </c>
      <c r="I28" s="33" t="s">
        <v>122</v>
      </c>
    </row>
    <row r="29" spans="2:14" x14ac:dyDescent="0.2">
      <c r="B29" s="23">
        <v>1</v>
      </c>
      <c r="C29" s="26" t="s">
        <v>67</v>
      </c>
      <c r="D29" s="21" t="s">
        <v>68</v>
      </c>
      <c r="E29" s="27" t="s">
        <v>127</v>
      </c>
      <c r="F29" s="27"/>
      <c r="G29" s="27"/>
      <c r="H29" s="27"/>
      <c r="I29" s="26" t="s">
        <v>169</v>
      </c>
    </row>
    <row r="30" spans="2:14" ht="16" customHeight="1" x14ac:dyDescent="0.2">
      <c r="B30" s="23">
        <v>2</v>
      </c>
      <c r="C30" s="26" t="s">
        <v>61</v>
      </c>
      <c r="D30" s="21" t="s">
        <v>62</v>
      </c>
      <c r="E30" s="37" t="s">
        <v>131</v>
      </c>
      <c r="F30" s="37"/>
      <c r="G30" s="37"/>
      <c r="H30" s="37"/>
      <c r="I30" s="23" t="s">
        <v>123</v>
      </c>
    </row>
    <row r="31" spans="2:14" x14ac:dyDescent="0.2">
      <c r="B31" s="23">
        <v>3</v>
      </c>
      <c r="C31" s="26" t="s">
        <v>63</v>
      </c>
      <c r="D31" s="21" t="s">
        <v>64</v>
      </c>
      <c r="E31" s="27" t="s">
        <v>128</v>
      </c>
      <c r="F31" s="27"/>
      <c r="G31" s="27"/>
      <c r="H31" s="27"/>
      <c r="I31" s="23" t="s">
        <v>167</v>
      </c>
    </row>
    <row r="33" spans="2:10" ht="19" x14ac:dyDescent="0.2">
      <c r="C33" s="28" t="s">
        <v>172</v>
      </c>
      <c r="D33" s="27" t="s">
        <v>130</v>
      </c>
    </row>
    <row r="34" spans="2:10" x14ac:dyDescent="0.2">
      <c r="B34" s="23">
        <v>1</v>
      </c>
      <c r="C34" s="26" t="s">
        <v>67</v>
      </c>
      <c r="D34" s="21" t="s">
        <v>68</v>
      </c>
      <c r="E34" s="27" t="s">
        <v>127</v>
      </c>
    </row>
    <row r="35" spans="2:10" x14ac:dyDescent="0.2">
      <c r="B35" s="23">
        <v>2</v>
      </c>
      <c r="C35" s="26" t="s">
        <v>79</v>
      </c>
      <c r="D35" s="21" t="s">
        <v>88</v>
      </c>
      <c r="E35" s="27" t="s">
        <v>133</v>
      </c>
    </row>
    <row r="36" spans="2:10" x14ac:dyDescent="0.2">
      <c r="B36" s="23">
        <v>3</v>
      </c>
      <c r="C36" s="26" t="s">
        <v>61</v>
      </c>
      <c r="D36" s="21" t="s">
        <v>62</v>
      </c>
      <c r="E36" s="37" t="s">
        <v>131</v>
      </c>
      <c r="F36" s="37"/>
      <c r="G36" s="37"/>
      <c r="H36" s="37"/>
    </row>
    <row r="37" spans="2:10" x14ac:dyDescent="0.2">
      <c r="B37" s="23">
        <v>4</v>
      </c>
      <c r="C37" s="26" t="s">
        <v>63</v>
      </c>
      <c r="D37" s="21" t="s">
        <v>64</v>
      </c>
      <c r="E37" s="27" t="s">
        <v>132</v>
      </c>
    </row>
    <row r="39" spans="2:10" ht="19" x14ac:dyDescent="0.2">
      <c r="C39" s="28" t="s">
        <v>145</v>
      </c>
      <c r="D39" s="27" t="s">
        <v>146</v>
      </c>
      <c r="I39" s="21" t="s">
        <v>160</v>
      </c>
      <c r="J39" s="21" t="s">
        <v>161</v>
      </c>
    </row>
    <row r="40" spans="2:10" x14ac:dyDescent="0.2">
      <c r="B40" s="23">
        <v>1</v>
      </c>
      <c r="C40" s="26" t="s">
        <v>67</v>
      </c>
      <c r="D40" s="21" t="s">
        <v>68</v>
      </c>
      <c r="E40" s="27" t="s">
        <v>127</v>
      </c>
    </row>
    <row r="41" spans="2:10" x14ac:dyDescent="0.2">
      <c r="B41" s="23">
        <v>2</v>
      </c>
      <c r="C41" s="26" t="s">
        <v>85</v>
      </c>
      <c r="D41" s="21" t="s">
        <v>86</v>
      </c>
      <c r="E41" s="27" t="s">
        <v>134</v>
      </c>
    </row>
    <row r="42" spans="2:10" x14ac:dyDescent="0.2">
      <c r="B42" s="23">
        <v>3</v>
      </c>
      <c r="C42" s="26" t="s">
        <v>63</v>
      </c>
      <c r="D42" s="21" t="s">
        <v>64</v>
      </c>
      <c r="E42" s="34" t="s">
        <v>138</v>
      </c>
    </row>
    <row r="43" spans="2:10" x14ac:dyDescent="0.2">
      <c r="B43" s="23">
        <v>4</v>
      </c>
      <c r="C43" s="26" t="s">
        <v>136</v>
      </c>
      <c r="D43" s="21" t="s">
        <v>66</v>
      </c>
      <c r="E43" s="27" t="s">
        <v>152</v>
      </c>
    </row>
    <row r="44" spans="2:10" x14ac:dyDescent="0.2">
      <c r="B44" s="23">
        <v>5</v>
      </c>
      <c r="C44" s="26" t="s">
        <v>135</v>
      </c>
      <c r="D44" s="21" t="s">
        <v>66</v>
      </c>
      <c r="E44" s="27" t="s">
        <v>150</v>
      </c>
    </row>
    <row r="45" spans="2:10" x14ac:dyDescent="0.2">
      <c r="B45" s="23">
        <v>6</v>
      </c>
      <c r="C45" s="26" t="s">
        <v>137</v>
      </c>
      <c r="D45" s="21" t="s">
        <v>66</v>
      </c>
      <c r="E45" s="27" t="s">
        <v>151</v>
      </c>
    </row>
    <row r="47" spans="2:10" x14ac:dyDescent="0.2">
      <c r="C47" s="23" t="s">
        <v>162</v>
      </c>
      <c r="D47" s="27" t="s">
        <v>164</v>
      </c>
    </row>
    <row r="48" spans="2:10" x14ac:dyDescent="0.2">
      <c r="B48" s="23">
        <v>1</v>
      </c>
      <c r="C48" s="26" t="s">
        <v>124</v>
      </c>
      <c r="D48" s="21" t="s">
        <v>125</v>
      </c>
      <c r="E48" s="27" t="s">
        <v>129</v>
      </c>
    </row>
    <row r="49" spans="2:5" x14ac:dyDescent="0.2">
      <c r="B49" s="23">
        <v>2</v>
      </c>
      <c r="C49" s="26" t="s">
        <v>147</v>
      </c>
      <c r="D49" s="21" t="s">
        <v>84</v>
      </c>
      <c r="E49" s="27" t="s">
        <v>148</v>
      </c>
    </row>
    <row r="50" spans="2:5" x14ac:dyDescent="0.2">
      <c r="B50" s="23">
        <v>4</v>
      </c>
      <c r="C50" s="26" t="s">
        <v>1</v>
      </c>
      <c r="D50" s="21" t="s">
        <v>84</v>
      </c>
      <c r="E50" s="21" t="s">
        <v>149</v>
      </c>
    </row>
    <row r="52" spans="2:5" x14ac:dyDescent="0.2">
      <c r="C52" s="23" t="s">
        <v>163</v>
      </c>
    </row>
    <row r="54" spans="2:5" x14ac:dyDescent="0.2">
      <c r="C54" s="23" t="s">
        <v>173</v>
      </c>
    </row>
    <row r="56" spans="2:5" x14ac:dyDescent="0.2">
      <c r="C56" s="23" t="s">
        <v>174</v>
      </c>
    </row>
    <row r="58" spans="2:5" x14ac:dyDescent="0.2">
      <c r="C58" s="23" t="s">
        <v>175</v>
      </c>
    </row>
  </sheetData>
  <mergeCells count="2">
    <mergeCell ref="E30:H30"/>
    <mergeCell ref="E36: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F69A-7541-8F49-8917-87CA28DC0269}">
  <dimension ref="B2:C3"/>
  <sheetViews>
    <sheetView tabSelected="1" zoomScale="135" workbookViewId="0">
      <selection activeCell="C3" sqref="C3"/>
    </sheetView>
  </sheetViews>
  <sheetFormatPr baseColWidth="10" defaultRowHeight="16" x14ac:dyDescent="0.2"/>
  <cols>
    <col min="1" max="2" width="3.83203125" customWidth="1"/>
  </cols>
  <sheetData>
    <row r="2" spans="2:3" ht="27" x14ac:dyDescent="0.35">
      <c r="C2" s="1" t="s">
        <v>176</v>
      </c>
    </row>
    <row r="3" spans="2:3" x14ac:dyDescent="0.2">
      <c r="B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13CA-C2FC-084B-A8EC-CC09502BFF2C}">
  <sheetPr>
    <tabColor theme="5"/>
  </sheetPr>
  <dimension ref="B2:AG66"/>
  <sheetViews>
    <sheetView topLeftCell="A30" workbookViewId="0">
      <selection activeCell="C37" sqref="C37"/>
    </sheetView>
  </sheetViews>
  <sheetFormatPr baseColWidth="10" defaultRowHeight="16" x14ac:dyDescent="0.2"/>
  <cols>
    <col min="2" max="2" width="17.83203125" customWidth="1"/>
    <col min="3" max="3" width="17.5" bestFit="1" customWidth="1"/>
    <col min="4" max="4" width="12.1640625" bestFit="1" customWidth="1"/>
    <col min="10" max="10" width="12.1640625" bestFit="1" customWidth="1"/>
    <col min="16" max="16" width="10.83203125" customWidth="1"/>
    <col min="26" max="26" width="11.1640625" bestFit="1" customWidth="1"/>
    <col min="28" max="28" width="12.1640625" bestFit="1" customWidth="1"/>
    <col min="29" max="29" width="12.33203125" bestFit="1" customWidth="1"/>
    <col min="32" max="32" width="12.1640625" bestFit="1" customWidth="1"/>
  </cols>
  <sheetData>
    <row r="2" spans="2:33" x14ac:dyDescent="0.2">
      <c r="B2" s="39" t="s">
        <v>69</v>
      </c>
      <c r="C2" s="39"/>
      <c r="D2" s="39"/>
      <c r="E2" s="39"/>
    </row>
    <row r="3" spans="2:33" x14ac:dyDescent="0.2">
      <c r="B3" s="39"/>
      <c r="C3" s="39"/>
      <c r="D3" s="39"/>
      <c r="E3" s="39"/>
      <c r="M3" s="2"/>
    </row>
    <row r="4" spans="2:33" x14ac:dyDescent="0.2">
      <c r="B4" s="39"/>
      <c r="C4" s="39"/>
      <c r="D4" s="39"/>
      <c r="E4" s="39"/>
    </row>
    <row r="5" spans="2:33" x14ac:dyDescent="0.2">
      <c r="B5" s="39"/>
      <c r="C5" s="39"/>
      <c r="D5" s="39"/>
      <c r="E5" s="39"/>
    </row>
    <row r="6" spans="2:33" x14ac:dyDescent="0.2">
      <c r="B6" s="39"/>
      <c r="C6" s="39"/>
      <c r="D6" s="39"/>
      <c r="E6" s="39"/>
      <c r="O6" s="39" t="s">
        <v>33</v>
      </c>
      <c r="P6" s="39"/>
      <c r="Q6" s="39"/>
      <c r="R6" s="39"/>
    </row>
    <row r="7" spans="2:33" x14ac:dyDescent="0.2">
      <c r="O7" s="39"/>
      <c r="P7" s="39"/>
      <c r="Q7" s="39"/>
      <c r="R7" s="39"/>
    </row>
    <row r="8" spans="2:33" x14ac:dyDescent="0.2">
      <c r="C8" s="38" t="s">
        <v>8</v>
      </c>
      <c r="D8" s="38"/>
      <c r="E8" s="38"/>
      <c r="F8" s="38"/>
      <c r="G8" s="38"/>
      <c r="O8" s="39"/>
      <c r="P8" s="39"/>
      <c r="Q8" s="39"/>
      <c r="R8" s="39"/>
    </row>
    <row r="9" spans="2:33" x14ac:dyDescent="0.2">
      <c r="B9" s="3" t="s">
        <v>9</v>
      </c>
      <c r="C9" s="2" t="s">
        <v>1</v>
      </c>
      <c r="D9" s="2" t="s">
        <v>2</v>
      </c>
      <c r="E9" s="2" t="s">
        <v>0</v>
      </c>
      <c r="F9" s="2" t="s">
        <v>3</v>
      </c>
      <c r="G9" s="2" t="s">
        <v>7</v>
      </c>
      <c r="H9" s="2" t="s">
        <v>4</v>
      </c>
      <c r="I9" s="2" t="s">
        <v>10</v>
      </c>
      <c r="J9" s="2" t="s">
        <v>6</v>
      </c>
      <c r="L9" s="2"/>
      <c r="O9" s="39"/>
      <c r="P9" s="39"/>
      <c r="Q9" s="39"/>
      <c r="R9" s="39"/>
    </row>
    <row r="10" spans="2:33" x14ac:dyDescent="0.2">
      <c r="B10" s="2" t="s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O10" s="39"/>
      <c r="P10" s="39"/>
      <c r="Q10" s="39"/>
      <c r="R10" s="39"/>
    </row>
    <row r="11" spans="2:33" x14ac:dyDescent="0.2">
      <c r="B11" s="2" t="s">
        <v>2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2:33" x14ac:dyDescent="0.2">
      <c r="B12" s="2" t="s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2:33" x14ac:dyDescent="0.2">
      <c r="B13" s="2" t="s">
        <v>3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2:33" x14ac:dyDescent="0.2">
      <c r="B14" s="2" t="s">
        <v>7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O14" t="s">
        <v>23</v>
      </c>
      <c r="P14" t="s">
        <v>24</v>
      </c>
      <c r="Q14" t="s">
        <v>25</v>
      </c>
      <c r="V14" t="s">
        <v>31</v>
      </c>
      <c r="W14" s="6" t="s">
        <v>26</v>
      </c>
      <c r="X14" s="6" t="s">
        <v>36</v>
      </c>
      <c r="Y14" s="6" t="s">
        <v>28</v>
      </c>
      <c r="Z14" s="6" t="s">
        <v>37</v>
      </c>
      <c r="AA14" s="6" t="s">
        <v>28</v>
      </c>
      <c r="AB14" s="6" t="s">
        <v>39</v>
      </c>
      <c r="AC14" s="6" t="s">
        <v>40</v>
      </c>
      <c r="AD14" s="6" t="s">
        <v>45</v>
      </c>
      <c r="AE14" s="6" t="s">
        <v>40</v>
      </c>
      <c r="AF14" s="6" t="s">
        <v>46</v>
      </c>
      <c r="AG14" s="6" t="s">
        <v>47</v>
      </c>
    </row>
    <row r="15" spans="2:33" x14ac:dyDescent="0.2">
      <c r="B15" s="2" t="s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-1</v>
      </c>
      <c r="J15">
        <v>0</v>
      </c>
      <c r="N15" s="7" t="s">
        <v>23</v>
      </c>
      <c r="O15" s="8">
        <v>1</v>
      </c>
      <c r="P15" s="8">
        <v>1</v>
      </c>
      <c r="Q15" s="8">
        <v>3</v>
      </c>
      <c r="V15" s="10">
        <v>3</v>
      </c>
      <c r="W15" s="8">
        <v>9</v>
      </c>
      <c r="X15" s="12">
        <f>((V15-1) * V15) / 2</f>
        <v>3</v>
      </c>
      <c r="Y15" s="11">
        <f t="shared" ref="Y15:Y31" si="0">X15*100/W15</f>
        <v>33.333333333333336</v>
      </c>
      <c r="Z15" s="11">
        <f>(V15 * (V15+1)) / 2</f>
        <v>6</v>
      </c>
      <c r="AA15" s="11">
        <f>Z15*100/W15</f>
        <v>66.666666666666671</v>
      </c>
      <c r="AB15" s="11">
        <f t="shared" ref="AB15:AB20" si="1">((V15 * (V15+1)) / 2)*4*V15</f>
        <v>72</v>
      </c>
      <c r="AC15" s="11">
        <f>AB15/(1024*1024*1024)</f>
        <v>6.7055225372314453E-8</v>
      </c>
      <c r="AD15" s="11">
        <f>5000*V15</f>
        <v>15000</v>
      </c>
      <c r="AE15" s="11">
        <f>AD15/(1024*1024*1024)</f>
        <v>1.3969838619232178E-5</v>
      </c>
      <c r="AF15" s="11">
        <f>AD15/(1024*1024)</f>
        <v>1.430511474609375E-2</v>
      </c>
      <c r="AG15" s="11">
        <f>AD15/1024</f>
        <v>14.6484375</v>
      </c>
    </row>
    <row r="16" spans="2:33" x14ac:dyDescent="0.2">
      <c r="B16" s="2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-1</v>
      </c>
      <c r="I16">
        <v>1</v>
      </c>
      <c r="J16">
        <v>0</v>
      </c>
      <c r="N16" s="7" t="s">
        <v>24</v>
      </c>
      <c r="O16" s="9">
        <v>1</v>
      </c>
      <c r="P16" s="8">
        <v>1</v>
      </c>
      <c r="Q16" s="8">
        <v>2</v>
      </c>
      <c r="V16" s="10">
        <v>4</v>
      </c>
      <c r="W16" s="8">
        <v>16</v>
      </c>
      <c r="X16" s="12">
        <f>((V16-1) * V16) / 2</f>
        <v>6</v>
      </c>
      <c r="Y16" s="11">
        <f t="shared" si="0"/>
        <v>37.5</v>
      </c>
      <c r="Z16" s="11">
        <f>(V16 * (V16+1)) / 2</f>
        <v>10</v>
      </c>
      <c r="AA16" s="11">
        <f t="shared" ref="AA16:AA42" si="2">Z16*100/W16</f>
        <v>62.5</v>
      </c>
      <c r="AB16" s="11">
        <f t="shared" si="1"/>
        <v>160</v>
      </c>
      <c r="AC16" s="11">
        <f t="shared" ref="AC16:AC42" si="3">AB16/(1024*1024*1024)</f>
        <v>1.4901161193847656E-7</v>
      </c>
      <c r="AD16" s="11">
        <f t="shared" ref="AD16:AD42" si="4">5000*V16</f>
        <v>20000</v>
      </c>
      <c r="AE16" s="11">
        <f t="shared" ref="AE16:AE42" si="5">AD16/(1024*1024*1024)</f>
        <v>1.862645149230957E-5</v>
      </c>
      <c r="AF16" s="11">
        <f t="shared" ref="AF16:AF42" si="6">AD16/(1024*1024)</f>
        <v>1.9073486328125E-2</v>
      </c>
      <c r="AG16" s="11">
        <f t="shared" ref="AG16:AG42" si="7">AD16/1024</f>
        <v>19.53125</v>
      </c>
    </row>
    <row r="17" spans="2:33" x14ac:dyDescent="0.2">
      <c r="B17" s="2" t="s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N17" s="7" t="s">
        <v>25</v>
      </c>
      <c r="O17" s="9">
        <v>3</v>
      </c>
      <c r="P17" s="9">
        <v>2</v>
      </c>
      <c r="Q17" s="8">
        <v>1</v>
      </c>
      <c r="V17" s="10">
        <v>5</v>
      </c>
      <c r="W17" s="8">
        <v>25</v>
      </c>
      <c r="X17" s="12">
        <f>((V17-1) * V17) / 2</f>
        <v>10</v>
      </c>
      <c r="Y17" s="11">
        <f t="shared" si="0"/>
        <v>40</v>
      </c>
      <c r="Z17" s="11">
        <f>(V17 * (V17+1)) / 2</f>
        <v>15</v>
      </c>
      <c r="AA17" s="11">
        <f t="shared" si="2"/>
        <v>60</v>
      </c>
      <c r="AB17" s="11">
        <f t="shared" si="1"/>
        <v>300</v>
      </c>
      <c r="AC17" s="11">
        <f t="shared" si="3"/>
        <v>2.7939677238464355E-7</v>
      </c>
      <c r="AD17" s="11">
        <f t="shared" si="4"/>
        <v>25000</v>
      </c>
      <c r="AE17" s="11">
        <f t="shared" si="5"/>
        <v>2.3283064365386963E-5</v>
      </c>
      <c r="AF17" s="11">
        <f t="shared" si="6"/>
        <v>2.384185791015625E-2</v>
      </c>
      <c r="AG17" s="11">
        <f t="shared" si="7"/>
        <v>24.4140625</v>
      </c>
    </row>
    <row r="18" spans="2:33" x14ac:dyDescent="0.2">
      <c r="V18" s="10">
        <v>6</v>
      </c>
      <c r="W18" s="8">
        <v>36</v>
      </c>
      <c r="X18" s="12">
        <f>((V18-1) * V18) / 2</f>
        <v>15</v>
      </c>
      <c r="Y18" s="11">
        <f t="shared" si="0"/>
        <v>41.666666666666664</v>
      </c>
      <c r="Z18" s="11">
        <f t="shared" ref="Z18:Z42" si="8">(V18 * (V18+1)) / 2</f>
        <v>21</v>
      </c>
      <c r="AA18" s="11">
        <f t="shared" si="2"/>
        <v>58.333333333333336</v>
      </c>
      <c r="AB18" s="11">
        <f t="shared" si="1"/>
        <v>504</v>
      </c>
      <c r="AC18" s="11">
        <f t="shared" si="3"/>
        <v>4.6938657760620117E-7</v>
      </c>
      <c r="AD18" s="11">
        <f t="shared" si="4"/>
        <v>30000</v>
      </c>
      <c r="AE18" s="11">
        <f t="shared" si="5"/>
        <v>2.7939677238464355E-5</v>
      </c>
      <c r="AF18" s="11">
        <f t="shared" si="6"/>
        <v>2.86102294921875E-2</v>
      </c>
      <c r="AG18" s="11">
        <f t="shared" si="7"/>
        <v>29.296875</v>
      </c>
    </row>
    <row r="19" spans="2:33" x14ac:dyDescent="0.2">
      <c r="O19" t="s">
        <v>23</v>
      </c>
      <c r="P19" t="s">
        <v>24</v>
      </c>
      <c r="Q19" t="s">
        <v>25</v>
      </c>
      <c r="R19" t="s">
        <v>27</v>
      </c>
      <c r="V19" s="10">
        <v>7</v>
      </c>
      <c r="W19" s="8">
        <f t="shared" ref="W19:W31" si="9">V19*V19</f>
        <v>49</v>
      </c>
      <c r="X19" s="12">
        <f>((V19-1) * V19) / 2</f>
        <v>21</v>
      </c>
      <c r="Y19" s="11">
        <f t="shared" si="0"/>
        <v>42.857142857142854</v>
      </c>
      <c r="Z19" s="11">
        <f t="shared" si="8"/>
        <v>28</v>
      </c>
      <c r="AA19" s="11">
        <f t="shared" si="2"/>
        <v>57.142857142857146</v>
      </c>
      <c r="AB19" s="11">
        <f t="shared" si="1"/>
        <v>784</v>
      </c>
      <c r="AC19" s="11">
        <f t="shared" si="3"/>
        <v>7.3015689849853516E-7</v>
      </c>
      <c r="AD19" s="11">
        <f t="shared" si="4"/>
        <v>35000</v>
      </c>
      <c r="AE19" s="11">
        <f t="shared" si="5"/>
        <v>3.2596290111541748E-5</v>
      </c>
      <c r="AF19" s="11">
        <f t="shared" si="6"/>
        <v>3.337860107421875E-2</v>
      </c>
      <c r="AG19" s="11">
        <f t="shared" si="7"/>
        <v>34.1796875</v>
      </c>
    </row>
    <row r="20" spans="2:33" x14ac:dyDescent="0.2">
      <c r="N20" s="7" t="s">
        <v>23</v>
      </c>
      <c r="O20" s="8">
        <v>1</v>
      </c>
      <c r="P20" s="8">
        <v>1</v>
      </c>
      <c r="Q20" s="8">
        <v>3</v>
      </c>
      <c r="R20" s="8">
        <v>4</v>
      </c>
      <c r="V20" s="10">
        <v>8</v>
      </c>
      <c r="W20" s="8">
        <f t="shared" si="9"/>
        <v>64</v>
      </c>
      <c r="X20" s="12">
        <f t="shared" ref="X20:X42" si="10">((V20-1) * V20) / 2</f>
        <v>28</v>
      </c>
      <c r="Y20" s="11">
        <f t="shared" si="0"/>
        <v>43.75</v>
      </c>
      <c r="Z20" s="11">
        <f t="shared" si="8"/>
        <v>36</v>
      </c>
      <c r="AA20" s="11">
        <f t="shared" si="2"/>
        <v>56.25</v>
      </c>
      <c r="AB20" s="11">
        <f t="shared" si="1"/>
        <v>1152</v>
      </c>
      <c r="AC20" s="11">
        <f t="shared" si="3"/>
        <v>1.0728836059570312E-6</v>
      </c>
      <c r="AD20" s="11">
        <f t="shared" si="4"/>
        <v>40000</v>
      </c>
      <c r="AE20" s="11">
        <f t="shared" si="5"/>
        <v>3.7252902984619141E-5</v>
      </c>
      <c r="AF20" s="11">
        <f t="shared" si="6"/>
        <v>3.814697265625E-2</v>
      </c>
      <c r="AG20" s="11">
        <f t="shared" si="7"/>
        <v>39.0625</v>
      </c>
    </row>
    <row r="21" spans="2:33" x14ac:dyDescent="0.2">
      <c r="C21" t="s">
        <v>1</v>
      </c>
      <c r="D21" t="s">
        <v>2</v>
      </c>
      <c r="E21" t="s">
        <v>0</v>
      </c>
      <c r="F21" t="s">
        <v>3</v>
      </c>
      <c r="N21" s="7" t="s">
        <v>24</v>
      </c>
      <c r="O21" s="9">
        <v>1</v>
      </c>
      <c r="P21" s="8">
        <v>1</v>
      </c>
      <c r="Q21" s="8">
        <v>2</v>
      </c>
      <c r="R21" s="8">
        <v>5</v>
      </c>
      <c r="V21" s="10">
        <v>9</v>
      </c>
      <c r="W21" s="8">
        <f t="shared" si="9"/>
        <v>81</v>
      </c>
      <c r="X21" s="12">
        <f t="shared" si="10"/>
        <v>36</v>
      </c>
      <c r="Y21" s="11">
        <f t="shared" si="0"/>
        <v>44.444444444444443</v>
      </c>
      <c r="Z21" s="11">
        <f t="shared" si="8"/>
        <v>45</v>
      </c>
      <c r="AA21" s="11">
        <f t="shared" si="2"/>
        <v>55.555555555555557</v>
      </c>
      <c r="AB21" s="11">
        <f t="shared" ref="AB21:AB42" si="11">((V21 * (V21+1)) / 2)*4*V21</f>
        <v>1620</v>
      </c>
      <c r="AC21" s="11">
        <f t="shared" si="3"/>
        <v>1.5087425708770752E-6</v>
      </c>
      <c r="AD21" s="11">
        <f t="shared" si="4"/>
        <v>45000</v>
      </c>
      <c r="AE21" s="11">
        <f t="shared" si="5"/>
        <v>4.1909515857696533E-5</v>
      </c>
      <c r="AF21" s="11">
        <f t="shared" si="6"/>
        <v>4.291534423828125E-2</v>
      </c>
      <c r="AG21" s="11">
        <f t="shared" si="7"/>
        <v>43.9453125</v>
      </c>
    </row>
    <row r="22" spans="2:33" x14ac:dyDescent="0.2">
      <c r="C22" t="s">
        <v>1</v>
      </c>
      <c r="D22" t="s">
        <v>2</v>
      </c>
      <c r="E22" t="s">
        <v>10</v>
      </c>
      <c r="N22" s="7" t="s">
        <v>25</v>
      </c>
      <c r="O22" s="9">
        <v>3</v>
      </c>
      <c r="P22" s="9">
        <v>2</v>
      </c>
      <c r="Q22" s="8">
        <v>1</v>
      </c>
      <c r="R22" s="8">
        <v>6</v>
      </c>
      <c r="V22" s="10">
        <v>10</v>
      </c>
      <c r="W22" s="8">
        <f t="shared" si="9"/>
        <v>100</v>
      </c>
      <c r="X22" s="12">
        <f t="shared" si="10"/>
        <v>45</v>
      </c>
      <c r="Y22" s="11">
        <f t="shared" si="0"/>
        <v>45</v>
      </c>
      <c r="Z22" s="11">
        <f t="shared" si="8"/>
        <v>55</v>
      </c>
      <c r="AA22" s="11">
        <f t="shared" si="2"/>
        <v>55</v>
      </c>
      <c r="AB22" s="11">
        <f t="shared" si="11"/>
        <v>2200</v>
      </c>
      <c r="AC22" s="11">
        <f t="shared" si="3"/>
        <v>2.0489096641540527E-6</v>
      </c>
      <c r="AD22" s="11">
        <f t="shared" si="4"/>
        <v>50000</v>
      </c>
      <c r="AE22" s="11">
        <f t="shared" si="5"/>
        <v>4.6566128730773926E-5</v>
      </c>
      <c r="AF22" s="11">
        <f t="shared" si="6"/>
        <v>4.76837158203125E-2</v>
      </c>
      <c r="AG22" s="11">
        <f t="shared" si="7"/>
        <v>48.828125</v>
      </c>
    </row>
    <row r="23" spans="2:33" x14ac:dyDescent="0.2">
      <c r="C23" t="s">
        <v>5</v>
      </c>
      <c r="D23" t="s">
        <v>11</v>
      </c>
      <c r="E23" t="s">
        <v>6</v>
      </c>
      <c r="N23" s="7" t="s">
        <v>27</v>
      </c>
      <c r="O23" s="9">
        <v>4</v>
      </c>
      <c r="P23" s="9">
        <v>5</v>
      </c>
      <c r="Q23" s="9">
        <v>6</v>
      </c>
      <c r="R23" s="8">
        <v>1</v>
      </c>
      <c r="V23" s="10">
        <v>11</v>
      </c>
      <c r="W23" s="8">
        <f t="shared" si="9"/>
        <v>121</v>
      </c>
      <c r="X23" s="12">
        <f t="shared" si="10"/>
        <v>55</v>
      </c>
      <c r="Y23" s="11">
        <f t="shared" si="0"/>
        <v>45.454545454545453</v>
      </c>
      <c r="Z23" s="11">
        <f t="shared" si="8"/>
        <v>66</v>
      </c>
      <c r="AA23" s="11">
        <f t="shared" si="2"/>
        <v>54.545454545454547</v>
      </c>
      <c r="AB23" s="11">
        <f t="shared" si="11"/>
        <v>2904</v>
      </c>
      <c r="AC23" s="11">
        <f t="shared" si="3"/>
        <v>2.7045607566833496E-6</v>
      </c>
      <c r="AD23" s="11">
        <f t="shared" si="4"/>
        <v>55000</v>
      </c>
      <c r="AE23" s="11">
        <f t="shared" si="5"/>
        <v>5.1222741603851318E-5</v>
      </c>
      <c r="AF23" s="11">
        <f t="shared" si="6"/>
        <v>5.245208740234375E-2</v>
      </c>
      <c r="AG23" s="11">
        <f t="shared" si="7"/>
        <v>53.7109375</v>
      </c>
    </row>
    <row r="24" spans="2:33" x14ac:dyDescent="0.2">
      <c r="V24" s="10">
        <v>12</v>
      </c>
      <c r="W24" s="8">
        <f t="shared" si="9"/>
        <v>144</v>
      </c>
      <c r="X24" s="12">
        <f t="shared" si="10"/>
        <v>66</v>
      </c>
      <c r="Y24" s="11">
        <f t="shared" si="0"/>
        <v>45.833333333333336</v>
      </c>
      <c r="Z24" s="11">
        <f t="shared" si="8"/>
        <v>78</v>
      </c>
      <c r="AA24" s="11">
        <f t="shared" si="2"/>
        <v>54.166666666666664</v>
      </c>
      <c r="AB24" s="11">
        <f t="shared" si="11"/>
        <v>3744</v>
      </c>
      <c r="AC24" s="11">
        <f t="shared" si="3"/>
        <v>3.4868717193603516E-6</v>
      </c>
      <c r="AD24" s="11">
        <f t="shared" si="4"/>
        <v>60000</v>
      </c>
      <c r="AE24" s="11">
        <f t="shared" si="5"/>
        <v>5.5879354476928711E-5</v>
      </c>
      <c r="AF24" s="11">
        <f t="shared" si="6"/>
        <v>5.7220458984375E-2</v>
      </c>
      <c r="AG24" s="11">
        <f t="shared" si="7"/>
        <v>58.59375</v>
      </c>
    </row>
    <row r="25" spans="2:33" x14ac:dyDescent="0.2">
      <c r="B25" s="39" t="s">
        <v>70</v>
      </c>
      <c r="C25" s="39"/>
      <c r="D25" s="39"/>
      <c r="E25" s="39"/>
      <c r="O25" t="s">
        <v>23</v>
      </c>
      <c r="P25" t="s">
        <v>24</v>
      </c>
      <c r="Q25" t="s">
        <v>25</v>
      </c>
      <c r="R25" t="s">
        <v>27</v>
      </c>
      <c r="S25" t="s">
        <v>29</v>
      </c>
      <c r="T25" t="s">
        <v>30</v>
      </c>
      <c r="U25" s="6"/>
      <c r="V25" s="10">
        <v>13</v>
      </c>
      <c r="W25" s="8">
        <f t="shared" si="9"/>
        <v>169</v>
      </c>
      <c r="X25" s="12">
        <f t="shared" si="10"/>
        <v>78</v>
      </c>
      <c r="Y25" s="11">
        <f t="shared" si="0"/>
        <v>46.153846153846153</v>
      </c>
      <c r="Z25" s="11">
        <f t="shared" si="8"/>
        <v>91</v>
      </c>
      <c r="AA25" s="11">
        <f t="shared" si="2"/>
        <v>53.846153846153847</v>
      </c>
      <c r="AB25" s="11">
        <f t="shared" si="11"/>
        <v>4732</v>
      </c>
      <c r="AC25" s="11">
        <f t="shared" si="3"/>
        <v>4.4070184230804443E-6</v>
      </c>
      <c r="AD25" s="11">
        <f t="shared" si="4"/>
        <v>65000</v>
      </c>
      <c r="AE25" s="11">
        <f t="shared" si="5"/>
        <v>6.0535967350006104E-5</v>
      </c>
      <c r="AF25" s="11">
        <f t="shared" si="6"/>
        <v>6.198883056640625E-2</v>
      </c>
      <c r="AG25" s="11">
        <f t="shared" si="7"/>
        <v>63.4765625</v>
      </c>
    </row>
    <row r="26" spans="2:33" ht="16" customHeight="1" x14ac:dyDescent="0.2">
      <c r="B26" s="39"/>
      <c r="C26" s="39"/>
      <c r="D26" s="39"/>
      <c r="E26" s="39"/>
      <c r="N26" s="7" t="s">
        <v>23</v>
      </c>
      <c r="O26" s="8">
        <v>1</v>
      </c>
      <c r="P26" s="8">
        <v>1</v>
      </c>
      <c r="Q26" s="8">
        <v>3</v>
      </c>
      <c r="R26" s="8">
        <v>4</v>
      </c>
      <c r="S26" s="8">
        <v>7</v>
      </c>
      <c r="T26" s="8">
        <v>7</v>
      </c>
      <c r="V26" s="10">
        <v>14</v>
      </c>
      <c r="W26" s="8">
        <f t="shared" si="9"/>
        <v>196</v>
      </c>
      <c r="X26" s="12">
        <f t="shared" si="10"/>
        <v>91</v>
      </c>
      <c r="Y26" s="11">
        <f t="shared" si="0"/>
        <v>46.428571428571431</v>
      </c>
      <c r="Z26" s="11">
        <f t="shared" si="8"/>
        <v>105</v>
      </c>
      <c r="AA26" s="11">
        <f t="shared" si="2"/>
        <v>53.571428571428569</v>
      </c>
      <c r="AB26" s="11">
        <f t="shared" si="11"/>
        <v>5880</v>
      </c>
      <c r="AC26" s="11">
        <f t="shared" si="3"/>
        <v>5.4761767387390137E-6</v>
      </c>
      <c r="AD26" s="11">
        <f t="shared" si="4"/>
        <v>70000</v>
      </c>
      <c r="AE26" s="11">
        <f t="shared" si="5"/>
        <v>6.5192580223083496E-5</v>
      </c>
      <c r="AF26" s="11">
        <f t="shared" si="6"/>
        <v>6.67572021484375E-2</v>
      </c>
      <c r="AG26" s="11">
        <f t="shared" si="7"/>
        <v>68.359375</v>
      </c>
    </row>
    <row r="27" spans="2:33" ht="16" customHeight="1" x14ac:dyDescent="0.2">
      <c r="B27" s="39"/>
      <c r="C27" s="39"/>
      <c r="D27" s="39"/>
      <c r="E27" s="39"/>
      <c r="N27" s="7" t="s">
        <v>24</v>
      </c>
      <c r="O27" s="9">
        <v>1</v>
      </c>
      <c r="P27" s="8">
        <v>1</v>
      </c>
      <c r="Q27" s="8">
        <v>2</v>
      </c>
      <c r="R27" s="8">
        <v>5</v>
      </c>
      <c r="S27" s="8">
        <v>8</v>
      </c>
      <c r="T27" s="8">
        <v>7</v>
      </c>
      <c r="V27" s="10">
        <v>15</v>
      </c>
      <c r="W27" s="8">
        <f t="shared" si="9"/>
        <v>225</v>
      </c>
      <c r="X27" s="12">
        <f t="shared" si="10"/>
        <v>105</v>
      </c>
      <c r="Y27" s="11">
        <f t="shared" si="0"/>
        <v>46.666666666666664</v>
      </c>
      <c r="Z27" s="11">
        <f t="shared" si="8"/>
        <v>120</v>
      </c>
      <c r="AA27" s="11">
        <f t="shared" si="2"/>
        <v>53.333333333333336</v>
      </c>
      <c r="AB27" s="11">
        <f t="shared" si="11"/>
        <v>7200</v>
      </c>
      <c r="AC27" s="11">
        <f t="shared" si="3"/>
        <v>6.7055225372314453E-6</v>
      </c>
      <c r="AD27" s="11">
        <f t="shared" si="4"/>
        <v>75000</v>
      </c>
      <c r="AE27" s="11">
        <f t="shared" si="5"/>
        <v>6.9849193096160889E-5</v>
      </c>
      <c r="AF27" s="11">
        <f t="shared" si="6"/>
        <v>7.152557373046875E-2</v>
      </c>
      <c r="AG27" s="11">
        <f t="shared" si="7"/>
        <v>73.2421875</v>
      </c>
    </row>
    <row r="28" spans="2:33" ht="16" customHeight="1" x14ac:dyDescent="0.2">
      <c r="B28" s="39"/>
      <c r="C28" s="39"/>
      <c r="D28" s="39"/>
      <c r="E28" s="39"/>
      <c r="N28" s="7" t="s">
        <v>25</v>
      </c>
      <c r="O28" s="9">
        <v>3</v>
      </c>
      <c r="P28" s="9">
        <v>2</v>
      </c>
      <c r="Q28" s="8">
        <v>1</v>
      </c>
      <c r="R28" s="8">
        <v>6</v>
      </c>
      <c r="S28" s="8">
        <v>9</v>
      </c>
      <c r="T28" s="8">
        <v>7</v>
      </c>
      <c r="V28" s="10">
        <v>16</v>
      </c>
      <c r="W28" s="8">
        <f t="shared" si="9"/>
        <v>256</v>
      </c>
      <c r="X28" s="12">
        <f t="shared" si="10"/>
        <v>120</v>
      </c>
      <c r="Y28" s="11">
        <f t="shared" si="0"/>
        <v>46.875</v>
      </c>
      <c r="Z28" s="11">
        <f t="shared" si="8"/>
        <v>136</v>
      </c>
      <c r="AA28" s="11">
        <f t="shared" si="2"/>
        <v>53.125</v>
      </c>
      <c r="AB28" s="11">
        <f t="shared" si="11"/>
        <v>8704</v>
      </c>
      <c r="AC28" s="11">
        <f t="shared" si="3"/>
        <v>8.106231689453125E-6</v>
      </c>
      <c r="AD28" s="11">
        <f t="shared" si="4"/>
        <v>80000</v>
      </c>
      <c r="AE28" s="11">
        <f t="shared" si="5"/>
        <v>7.4505805969238281E-5</v>
      </c>
      <c r="AF28" s="11">
        <f t="shared" si="6"/>
        <v>7.62939453125E-2</v>
      </c>
      <c r="AG28" s="11">
        <f t="shared" si="7"/>
        <v>78.125</v>
      </c>
    </row>
    <row r="29" spans="2:33" ht="16" customHeight="1" x14ac:dyDescent="0.2">
      <c r="B29" s="39"/>
      <c r="C29" s="39"/>
      <c r="D29" s="39"/>
      <c r="E29" s="39"/>
      <c r="N29" s="7" t="s">
        <v>27</v>
      </c>
      <c r="O29" s="9">
        <v>4</v>
      </c>
      <c r="P29" s="9">
        <v>5</v>
      </c>
      <c r="Q29" s="9">
        <v>6</v>
      </c>
      <c r="R29" s="8">
        <v>1</v>
      </c>
      <c r="S29" s="8">
        <v>10</v>
      </c>
      <c r="T29" s="8">
        <v>7</v>
      </c>
      <c r="V29" s="10">
        <v>17</v>
      </c>
      <c r="W29" s="8">
        <f t="shared" si="9"/>
        <v>289</v>
      </c>
      <c r="X29" s="12">
        <f t="shared" si="10"/>
        <v>136</v>
      </c>
      <c r="Y29" s="11">
        <f t="shared" si="0"/>
        <v>47.058823529411768</v>
      </c>
      <c r="Z29" s="11">
        <f t="shared" si="8"/>
        <v>153</v>
      </c>
      <c r="AA29" s="11">
        <f t="shared" si="2"/>
        <v>52.941176470588232</v>
      </c>
      <c r="AB29" s="11">
        <f t="shared" si="11"/>
        <v>10404</v>
      </c>
      <c r="AC29" s="11">
        <f t="shared" si="3"/>
        <v>9.6894800662994385E-6</v>
      </c>
      <c r="AD29" s="11">
        <f t="shared" si="4"/>
        <v>85000</v>
      </c>
      <c r="AE29" s="11">
        <f t="shared" si="5"/>
        <v>7.9162418842315674E-5</v>
      </c>
      <c r="AF29" s="11">
        <f t="shared" si="6"/>
        <v>8.106231689453125E-2</v>
      </c>
      <c r="AG29" s="11">
        <f t="shared" si="7"/>
        <v>83.0078125</v>
      </c>
    </row>
    <row r="30" spans="2:33" ht="16" customHeight="1" x14ac:dyDescent="0.2">
      <c r="N30" s="7" t="s">
        <v>29</v>
      </c>
      <c r="O30" s="9">
        <v>7</v>
      </c>
      <c r="P30" s="9">
        <v>8</v>
      </c>
      <c r="Q30" s="9">
        <v>9</v>
      </c>
      <c r="R30" s="9">
        <v>10</v>
      </c>
      <c r="S30" s="8">
        <v>1</v>
      </c>
      <c r="T30" s="8">
        <v>7</v>
      </c>
      <c r="V30" s="10">
        <v>18</v>
      </c>
      <c r="W30" s="8">
        <f t="shared" si="9"/>
        <v>324</v>
      </c>
      <c r="X30" s="12">
        <f t="shared" si="10"/>
        <v>153</v>
      </c>
      <c r="Y30" s="11">
        <f t="shared" si="0"/>
        <v>47.222222222222221</v>
      </c>
      <c r="Z30" s="11">
        <f t="shared" si="8"/>
        <v>171</v>
      </c>
      <c r="AA30" s="11">
        <f t="shared" si="2"/>
        <v>52.777777777777779</v>
      </c>
      <c r="AB30" s="11">
        <f t="shared" si="11"/>
        <v>12312</v>
      </c>
      <c r="AC30" s="11">
        <f t="shared" si="3"/>
        <v>1.1466443538665771E-5</v>
      </c>
      <c r="AD30" s="11">
        <f t="shared" si="4"/>
        <v>90000</v>
      </c>
      <c r="AE30" s="11">
        <f t="shared" si="5"/>
        <v>8.3819031715393066E-5</v>
      </c>
      <c r="AF30" s="11">
        <f t="shared" si="6"/>
        <v>8.58306884765625E-2</v>
      </c>
      <c r="AG30" s="11">
        <f t="shared" si="7"/>
        <v>87.890625</v>
      </c>
    </row>
    <row r="31" spans="2:33" x14ac:dyDescent="0.2">
      <c r="C31" s="6" t="s">
        <v>13</v>
      </c>
      <c r="D31" s="6" t="s">
        <v>14</v>
      </c>
      <c r="E31" s="6" t="s">
        <v>55</v>
      </c>
      <c r="F31" s="6" t="s">
        <v>56</v>
      </c>
      <c r="G31" t="s">
        <v>16</v>
      </c>
      <c r="N31" s="7" t="s">
        <v>30</v>
      </c>
      <c r="O31" s="9">
        <v>7</v>
      </c>
      <c r="P31" s="9">
        <v>7</v>
      </c>
      <c r="Q31" s="9">
        <v>7</v>
      </c>
      <c r="R31" s="9">
        <v>7</v>
      </c>
      <c r="S31" s="9">
        <v>7</v>
      </c>
      <c r="T31" s="8">
        <v>1</v>
      </c>
      <c r="V31" s="10">
        <v>19</v>
      </c>
      <c r="W31" s="8">
        <f t="shared" si="9"/>
        <v>361</v>
      </c>
      <c r="X31" s="12">
        <f t="shared" si="10"/>
        <v>171</v>
      </c>
      <c r="Y31" s="11">
        <f t="shared" si="0"/>
        <v>47.368421052631582</v>
      </c>
      <c r="Z31" s="11">
        <f t="shared" si="8"/>
        <v>190</v>
      </c>
      <c r="AA31" s="11">
        <f t="shared" si="2"/>
        <v>52.631578947368418</v>
      </c>
      <c r="AB31" s="11">
        <f t="shared" si="11"/>
        <v>14440</v>
      </c>
      <c r="AC31" s="11">
        <f t="shared" si="3"/>
        <v>1.344829797744751E-5</v>
      </c>
      <c r="AD31" s="11">
        <f t="shared" si="4"/>
        <v>95000</v>
      </c>
      <c r="AE31" s="11">
        <f t="shared" si="5"/>
        <v>8.8475644588470459E-5</v>
      </c>
      <c r="AF31" s="11">
        <f t="shared" si="6"/>
        <v>9.059906005859375E-2</v>
      </c>
      <c r="AG31" s="11">
        <f t="shared" si="7"/>
        <v>92.7734375</v>
      </c>
    </row>
    <row r="32" spans="2:33" x14ac:dyDescent="0.2">
      <c r="B32" t="s">
        <v>20</v>
      </c>
      <c r="C32">
        <v>-1</v>
      </c>
      <c r="D32">
        <v>1</v>
      </c>
      <c r="E32">
        <v>1</v>
      </c>
      <c r="F32">
        <v>1</v>
      </c>
      <c r="G32">
        <f>SQRT(C32*C32+D32*D32+E32*E32++F32*F32)</f>
        <v>2</v>
      </c>
      <c r="N32" s="7"/>
      <c r="O32" s="9"/>
      <c r="P32" s="9"/>
      <c r="Q32" s="9"/>
      <c r="R32" s="9"/>
      <c r="S32" s="9"/>
      <c r="T32" s="8"/>
      <c r="V32" s="10"/>
      <c r="W32" s="8"/>
      <c r="X32" s="12"/>
      <c r="Y32" s="11"/>
      <c r="Z32" s="11"/>
      <c r="AA32" s="11"/>
      <c r="AB32" s="11"/>
      <c r="AC32" s="11"/>
      <c r="AD32" s="11"/>
      <c r="AE32" s="11"/>
      <c r="AF32" s="11"/>
      <c r="AG32" s="11"/>
    </row>
    <row r="33" spans="2:33" x14ac:dyDescent="0.2">
      <c r="B33" t="s">
        <v>21</v>
      </c>
      <c r="C33">
        <v>1</v>
      </c>
      <c r="D33">
        <v>1</v>
      </c>
      <c r="E33">
        <v>1</v>
      </c>
      <c r="F33">
        <v>1</v>
      </c>
      <c r="G33">
        <f>SQRT(C33*C33+D33*D33+E33*E33++F33*F33)</f>
        <v>2</v>
      </c>
      <c r="V33" s="10">
        <v>20</v>
      </c>
      <c r="W33" s="8">
        <f t="shared" ref="W33:W38" si="12">V33*V33</f>
        <v>400</v>
      </c>
      <c r="X33" s="12">
        <f t="shared" si="10"/>
        <v>190</v>
      </c>
      <c r="Y33" s="11">
        <f t="shared" ref="Y33:Y38" si="13">X33*100/W33</f>
        <v>47.5</v>
      </c>
      <c r="Z33" s="11">
        <f t="shared" si="8"/>
        <v>210</v>
      </c>
      <c r="AA33" s="11">
        <f t="shared" si="2"/>
        <v>52.5</v>
      </c>
      <c r="AB33" s="11">
        <f t="shared" si="11"/>
        <v>16800</v>
      </c>
      <c r="AC33" s="11">
        <f t="shared" si="3"/>
        <v>1.5646219253540039E-5</v>
      </c>
      <c r="AD33" s="11">
        <f t="shared" si="4"/>
        <v>100000</v>
      </c>
      <c r="AE33" s="11">
        <f t="shared" si="5"/>
        <v>9.3132257461547852E-5</v>
      </c>
      <c r="AF33" s="11">
        <f t="shared" si="6"/>
        <v>9.5367431640625E-2</v>
      </c>
      <c r="AG33" s="11">
        <f t="shared" si="7"/>
        <v>97.65625</v>
      </c>
    </row>
    <row r="34" spans="2:33" x14ac:dyDescent="0.2">
      <c r="O34" s="2" t="s">
        <v>41</v>
      </c>
      <c r="V34" s="10">
        <v>21</v>
      </c>
      <c r="W34" s="8">
        <f t="shared" si="12"/>
        <v>441</v>
      </c>
      <c r="X34" s="12">
        <f t="shared" si="10"/>
        <v>210</v>
      </c>
      <c r="Y34" s="11">
        <f t="shared" si="13"/>
        <v>47.61904761904762</v>
      </c>
      <c r="Z34" s="11">
        <f t="shared" si="8"/>
        <v>231</v>
      </c>
      <c r="AA34" s="11">
        <f t="shared" si="2"/>
        <v>52.38095238095238</v>
      </c>
      <c r="AB34" s="11">
        <f t="shared" si="11"/>
        <v>19404</v>
      </c>
      <c r="AC34" s="11">
        <f t="shared" si="3"/>
        <v>1.8071383237838745E-5</v>
      </c>
      <c r="AD34" s="11">
        <f t="shared" si="4"/>
        <v>105000</v>
      </c>
      <c r="AE34" s="11">
        <f t="shared" si="5"/>
        <v>9.7788870334625244E-5</v>
      </c>
      <c r="AF34" s="11">
        <f t="shared" si="6"/>
        <v>0.10013580322265625</v>
      </c>
      <c r="AG34" s="11">
        <f t="shared" si="7"/>
        <v>102.5390625</v>
      </c>
    </row>
    <row r="35" spans="2:33" ht="24" x14ac:dyDescent="0.3">
      <c r="B35" s="4" t="s">
        <v>12</v>
      </c>
      <c r="C35" s="4">
        <f>C32*C33+D32*D33+E32*E33+F32*F33</f>
        <v>2</v>
      </c>
      <c r="V35" s="10">
        <v>22</v>
      </c>
      <c r="W35" s="8">
        <f t="shared" si="12"/>
        <v>484</v>
      </c>
      <c r="X35" s="12">
        <f t="shared" si="10"/>
        <v>231</v>
      </c>
      <c r="Y35" s="11">
        <f t="shared" si="13"/>
        <v>47.727272727272727</v>
      </c>
      <c r="Z35" s="11">
        <f t="shared" si="8"/>
        <v>253</v>
      </c>
      <c r="AA35" s="11">
        <f t="shared" si="2"/>
        <v>52.272727272727273</v>
      </c>
      <c r="AB35" s="11">
        <f t="shared" si="11"/>
        <v>22264</v>
      </c>
      <c r="AC35" s="11">
        <f t="shared" si="3"/>
        <v>2.0734965801239014E-5</v>
      </c>
      <c r="AD35" s="11">
        <f t="shared" si="4"/>
        <v>110000</v>
      </c>
      <c r="AE35" s="11">
        <f t="shared" si="5"/>
        <v>1.0244548320770264E-4</v>
      </c>
      <c r="AF35" s="11">
        <f t="shared" si="6"/>
        <v>0.1049041748046875</v>
      </c>
      <c r="AG35" s="11">
        <f t="shared" si="7"/>
        <v>107.421875</v>
      </c>
    </row>
    <row r="36" spans="2:33" ht="24" x14ac:dyDescent="0.3">
      <c r="B36" s="4" t="s">
        <v>15</v>
      </c>
      <c r="C36" s="4">
        <f>ROUND(C35/(G32*G33),4)</f>
        <v>0.5</v>
      </c>
      <c r="O36" s="6" t="s">
        <v>34</v>
      </c>
      <c r="P36" s="6" t="s">
        <v>38</v>
      </c>
      <c r="Q36" s="6" t="s">
        <v>35</v>
      </c>
      <c r="V36" s="10">
        <v>23</v>
      </c>
      <c r="W36" s="8">
        <f t="shared" si="12"/>
        <v>529</v>
      </c>
      <c r="X36" s="12">
        <f t="shared" si="10"/>
        <v>253</v>
      </c>
      <c r="Y36" s="11">
        <f t="shared" si="13"/>
        <v>47.826086956521742</v>
      </c>
      <c r="Z36" s="11">
        <f t="shared" si="8"/>
        <v>276</v>
      </c>
      <c r="AA36" s="11">
        <f t="shared" si="2"/>
        <v>52.173913043478258</v>
      </c>
      <c r="AB36" s="11">
        <f t="shared" si="11"/>
        <v>25392</v>
      </c>
      <c r="AC36" s="11">
        <f t="shared" si="3"/>
        <v>2.364814281463623E-5</v>
      </c>
      <c r="AD36" s="11">
        <f t="shared" si="4"/>
        <v>115000</v>
      </c>
      <c r="AE36" s="11">
        <f t="shared" si="5"/>
        <v>1.0710209608078003E-4</v>
      </c>
      <c r="AF36" s="11">
        <f t="shared" si="6"/>
        <v>0.10967254638671875</v>
      </c>
      <c r="AG36" s="11">
        <f t="shared" si="7"/>
        <v>112.3046875</v>
      </c>
    </row>
    <row r="37" spans="2:33" ht="24" x14ac:dyDescent="0.3">
      <c r="B37" s="4" t="s">
        <v>57</v>
      </c>
      <c r="C37" s="4">
        <f>ACOS(C36)</f>
        <v>1.0471975511965976</v>
      </c>
      <c r="O37" s="6" t="s">
        <v>23</v>
      </c>
      <c r="P37" s="6">
        <v>1</v>
      </c>
      <c r="Q37" s="6">
        <v>1</v>
      </c>
      <c r="V37" s="10">
        <v>24</v>
      </c>
      <c r="W37" s="8">
        <f t="shared" si="12"/>
        <v>576</v>
      </c>
      <c r="X37" s="12">
        <f t="shared" si="10"/>
        <v>276</v>
      </c>
      <c r="Y37" s="11">
        <f t="shared" si="13"/>
        <v>47.916666666666664</v>
      </c>
      <c r="Z37" s="11">
        <f t="shared" si="8"/>
        <v>300</v>
      </c>
      <c r="AA37" s="11">
        <f t="shared" si="2"/>
        <v>52.083333333333336</v>
      </c>
      <c r="AB37" s="11">
        <f t="shared" si="11"/>
        <v>28800</v>
      </c>
      <c r="AC37" s="11">
        <f t="shared" si="3"/>
        <v>2.6822090148925781E-5</v>
      </c>
      <c r="AD37" s="11">
        <f t="shared" si="4"/>
        <v>120000</v>
      </c>
      <c r="AE37" s="11">
        <f t="shared" si="5"/>
        <v>1.1175870895385742E-4</v>
      </c>
      <c r="AF37" s="11">
        <f t="shared" si="6"/>
        <v>0.11444091796875</v>
      </c>
      <c r="AG37" s="11">
        <f t="shared" si="7"/>
        <v>117.1875</v>
      </c>
    </row>
    <row r="38" spans="2:33" ht="24" x14ac:dyDescent="0.3">
      <c r="B38" s="4" t="s">
        <v>19</v>
      </c>
      <c r="C38" s="4">
        <f>ROUND(C37/PI(),4)</f>
        <v>0.33329999999999999</v>
      </c>
      <c r="O38" s="6" t="s">
        <v>24</v>
      </c>
      <c r="P38" s="6">
        <v>1</v>
      </c>
      <c r="Q38" s="6">
        <v>1</v>
      </c>
      <c r="V38" s="10">
        <v>25</v>
      </c>
      <c r="W38" s="8">
        <f t="shared" si="12"/>
        <v>625</v>
      </c>
      <c r="X38" s="12">
        <f t="shared" si="10"/>
        <v>300</v>
      </c>
      <c r="Y38" s="11">
        <f t="shared" si="13"/>
        <v>48</v>
      </c>
      <c r="Z38" s="11">
        <f t="shared" si="8"/>
        <v>325</v>
      </c>
      <c r="AA38" s="11">
        <f t="shared" si="2"/>
        <v>52</v>
      </c>
      <c r="AB38" s="11">
        <f t="shared" si="11"/>
        <v>32500</v>
      </c>
      <c r="AC38" s="11">
        <f t="shared" si="3"/>
        <v>3.0267983675003052E-5</v>
      </c>
      <c r="AD38" s="11">
        <f t="shared" si="4"/>
        <v>125000</v>
      </c>
      <c r="AE38" s="11">
        <f t="shared" si="5"/>
        <v>1.1641532182693481E-4</v>
      </c>
      <c r="AF38" s="11">
        <f t="shared" si="6"/>
        <v>0.11920928955078125</v>
      </c>
      <c r="AG38" s="11">
        <f t="shared" si="7"/>
        <v>122.0703125</v>
      </c>
    </row>
    <row r="39" spans="2:33" ht="24" x14ac:dyDescent="0.3">
      <c r="B39" s="4" t="s">
        <v>17</v>
      </c>
      <c r="C39" s="4">
        <f>ROUND(DEGREES(C37),0)</f>
        <v>60</v>
      </c>
      <c r="O39" s="6" t="s">
        <v>24</v>
      </c>
      <c r="P39" s="6">
        <v>2</v>
      </c>
      <c r="Q39" s="6">
        <v>1</v>
      </c>
      <c r="U39" s="7" t="s">
        <v>43</v>
      </c>
      <c r="V39" s="10" t="s">
        <v>32</v>
      </c>
      <c r="W39" s="8" t="s">
        <v>32</v>
      </c>
      <c r="X39" s="12" t="s">
        <v>32</v>
      </c>
      <c r="Y39" s="11" t="s">
        <v>32</v>
      </c>
      <c r="Z39" s="11" t="s">
        <v>32</v>
      </c>
      <c r="AA39" s="11" t="s">
        <v>32</v>
      </c>
      <c r="AB39" s="11" t="s">
        <v>32</v>
      </c>
      <c r="AC39" s="11" t="s">
        <v>32</v>
      </c>
      <c r="AD39" s="11" t="s">
        <v>32</v>
      </c>
      <c r="AE39" s="11" t="s">
        <v>32</v>
      </c>
      <c r="AF39" s="11" t="s">
        <v>32</v>
      </c>
      <c r="AG39" s="11" t="s">
        <v>32</v>
      </c>
    </row>
    <row r="40" spans="2:33" ht="25" thickBot="1" x14ac:dyDescent="0.35">
      <c r="B40" s="5" t="s">
        <v>18</v>
      </c>
      <c r="C40" s="5">
        <f>1-ROUND(C38,4)</f>
        <v>0.66670000000000007</v>
      </c>
      <c r="O40" s="6" t="s">
        <v>25</v>
      </c>
      <c r="P40" s="6">
        <v>1</v>
      </c>
      <c r="Q40" s="6">
        <v>3</v>
      </c>
      <c r="U40" s="7" t="s">
        <v>42</v>
      </c>
      <c r="V40" s="10">
        <v>74550</v>
      </c>
      <c r="W40" s="8">
        <f>V40*V40</f>
        <v>5557702500</v>
      </c>
      <c r="X40" s="12">
        <f t="shared" si="10"/>
        <v>2778813975</v>
      </c>
      <c r="Y40" s="11">
        <f>X40*100/W40</f>
        <v>49.999329309188461</v>
      </c>
      <c r="Z40" s="11">
        <f t="shared" si="8"/>
        <v>2778888525</v>
      </c>
      <c r="AA40" s="11">
        <f t="shared" si="2"/>
        <v>50.000670690811539</v>
      </c>
      <c r="AB40" s="11">
        <f t="shared" si="11"/>
        <v>828664558155000</v>
      </c>
      <c r="AC40" s="11">
        <f t="shared" si="3"/>
        <v>771754.00979351252</v>
      </c>
      <c r="AD40" s="11">
        <f t="shared" si="4"/>
        <v>372750000</v>
      </c>
      <c r="AE40" s="11">
        <f t="shared" si="5"/>
        <v>0.34715048968791962</v>
      </c>
      <c r="AF40" s="11">
        <f t="shared" si="6"/>
        <v>355.48210144042969</v>
      </c>
      <c r="AG40" s="11">
        <f t="shared" si="7"/>
        <v>364013.671875</v>
      </c>
    </row>
    <row r="41" spans="2:33" ht="17" thickBot="1" x14ac:dyDescent="0.25">
      <c r="O41" s="6" t="s">
        <v>25</v>
      </c>
      <c r="P41" s="6">
        <v>2</v>
      </c>
      <c r="Q41" s="6">
        <v>2</v>
      </c>
      <c r="U41" s="13">
        <v>5000</v>
      </c>
      <c r="V41" s="14">
        <v>5000</v>
      </c>
      <c r="W41" s="15">
        <f>V41*V41</f>
        <v>25000000</v>
      </c>
      <c r="X41" s="16">
        <f t="shared" si="10"/>
        <v>12497500</v>
      </c>
      <c r="Y41" s="17">
        <f>X41*100/W41</f>
        <v>49.99</v>
      </c>
      <c r="Z41" s="17">
        <f t="shared" si="8"/>
        <v>12502500</v>
      </c>
      <c r="AA41" s="17">
        <f t="shared" si="2"/>
        <v>50.01</v>
      </c>
      <c r="AB41" s="17">
        <f t="shared" si="11"/>
        <v>250050000000</v>
      </c>
      <c r="AC41" s="17">
        <f t="shared" si="3"/>
        <v>232.8772097826004</v>
      </c>
      <c r="AD41" s="18">
        <f t="shared" si="4"/>
        <v>25000000</v>
      </c>
      <c r="AE41" s="19">
        <f t="shared" si="5"/>
        <v>2.3283064365386963E-2</v>
      </c>
      <c r="AF41" s="19">
        <f t="shared" si="6"/>
        <v>23.84185791015625</v>
      </c>
      <c r="AG41" s="20">
        <f t="shared" si="7"/>
        <v>24414.0625</v>
      </c>
    </row>
    <row r="42" spans="2:33" x14ac:dyDescent="0.2">
      <c r="O42" s="6" t="s">
        <v>25</v>
      </c>
      <c r="P42" s="6">
        <v>3</v>
      </c>
      <c r="Q42" s="6">
        <v>1</v>
      </c>
      <c r="U42">
        <v>1000</v>
      </c>
      <c r="V42" s="10">
        <v>1000</v>
      </c>
      <c r="W42" s="8">
        <f>V42*V42</f>
        <v>1000000</v>
      </c>
      <c r="X42" s="12">
        <f t="shared" si="10"/>
        <v>499500</v>
      </c>
      <c r="Y42" s="11">
        <f>X42*100/W42</f>
        <v>49.95</v>
      </c>
      <c r="Z42" s="11">
        <f t="shared" si="8"/>
        <v>500500</v>
      </c>
      <c r="AA42" s="11">
        <f t="shared" si="2"/>
        <v>50.05</v>
      </c>
      <c r="AB42" s="11">
        <f t="shared" si="11"/>
        <v>2002000000</v>
      </c>
      <c r="AC42" s="11">
        <f t="shared" si="3"/>
        <v>1.864507794380188</v>
      </c>
      <c r="AD42" s="11">
        <f t="shared" si="4"/>
        <v>5000000</v>
      </c>
      <c r="AE42" s="11">
        <f t="shared" si="5"/>
        <v>4.6566128730773926E-3</v>
      </c>
      <c r="AF42" s="11">
        <f t="shared" si="6"/>
        <v>4.76837158203125</v>
      </c>
      <c r="AG42" s="11">
        <f t="shared" si="7"/>
        <v>4882.8125</v>
      </c>
    </row>
    <row r="43" spans="2:33" x14ac:dyDescent="0.2">
      <c r="O43" s="6" t="s">
        <v>27</v>
      </c>
      <c r="P43" s="6">
        <v>1</v>
      </c>
      <c r="Q43" s="6">
        <v>4</v>
      </c>
    </row>
    <row r="44" spans="2:33" ht="27" x14ac:dyDescent="0.2">
      <c r="B44" s="22" t="s">
        <v>110</v>
      </c>
      <c r="C44" s="21"/>
      <c r="D44" s="21"/>
      <c r="E44" s="21"/>
      <c r="F44" s="21"/>
      <c r="G44" s="21"/>
      <c r="H44" s="21"/>
      <c r="I44" s="21"/>
      <c r="O44" s="6" t="s">
        <v>27</v>
      </c>
      <c r="P44" s="6">
        <v>2</v>
      </c>
      <c r="Q44" s="6">
        <v>5</v>
      </c>
    </row>
    <row r="45" spans="2:33" x14ac:dyDescent="0.2">
      <c r="B45" s="21"/>
      <c r="C45" s="21"/>
      <c r="D45" s="21"/>
      <c r="E45" s="21"/>
      <c r="F45" s="21"/>
      <c r="G45" s="21"/>
      <c r="H45" s="21"/>
      <c r="I45" s="21"/>
      <c r="O45" s="6" t="s">
        <v>27</v>
      </c>
      <c r="P45" s="6">
        <v>3</v>
      </c>
      <c r="Q45" s="6">
        <v>6</v>
      </c>
    </row>
    <row r="46" spans="2:33" x14ac:dyDescent="0.2">
      <c r="B46" s="23" t="s">
        <v>94</v>
      </c>
      <c r="C46" s="23"/>
      <c r="D46" s="23"/>
      <c r="E46" s="23" t="s">
        <v>95</v>
      </c>
      <c r="F46" s="23"/>
      <c r="G46" s="23"/>
      <c r="H46" s="23" t="s">
        <v>96</v>
      </c>
      <c r="I46" s="21"/>
      <c r="O46" s="6" t="s">
        <v>27</v>
      </c>
      <c r="P46" s="6">
        <v>4</v>
      </c>
      <c r="Q46" s="6">
        <v>1</v>
      </c>
    </row>
    <row r="47" spans="2:33" x14ac:dyDescent="0.2">
      <c r="B47" s="26" t="s">
        <v>67</v>
      </c>
      <c r="C47" s="29" t="s">
        <v>98</v>
      </c>
      <c r="D47" s="21"/>
      <c r="E47" s="26" t="s">
        <v>67</v>
      </c>
      <c r="F47" s="29" t="s">
        <v>99</v>
      </c>
      <c r="G47" s="21"/>
      <c r="H47" s="26" t="s">
        <v>67</v>
      </c>
      <c r="I47" s="29" t="s">
        <v>100</v>
      </c>
      <c r="O47" s="6" t="s">
        <v>29</v>
      </c>
      <c r="P47" s="6">
        <v>1</v>
      </c>
      <c r="Q47" s="6">
        <v>7</v>
      </c>
    </row>
    <row r="48" spans="2:33" x14ac:dyDescent="0.2">
      <c r="B48" s="26" t="s">
        <v>61</v>
      </c>
      <c r="C48" s="29" t="s">
        <v>89</v>
      </c>
      <c r="D48" s="21"/>
      <c r="E48" s="26" t="s">
        <v>61</v>
      </c>
      <c r="F48" s="29" t="s">
        <v>4</v>
      </c>
      <c r="G48" s="21"/>
      <c r="H48" s="26" t="s">
        <v>61</v>
      </c>
      <c r="I48" s="29" t="s">
        <v>91</v>
      </c>
      <c r="O48" s="6" t="s">
        <v>29</v>
      </c>
      <c r="P48" s="6">
        <v>2</v>
      </c>
      <c r="Q48" s="6">
        <v>8</v>
      </c>
    </row>
    <row r="49" spans="2:17" x14ac:dyDescent="0.2">
      <c r="B49" s="26" t="s">
        <v>63</v>
      </c>
      <c r="C49" s="29" t="s">
        <v>23</v>
      </c>
      <c r="D49" s="21"/>
      <c r="E49" s="26" t="s">
        <v>63</v>
      </c>
      <c r="F49" s="29" t="s">
        <v>24</v>
      </c>
      <c r="G49" s="21"/>
      <c r="H49" s="26" t="s">
        <v>63</v>
      </c>
      <c r="I49" s="29" t="s">
        <v>25</v>
      </c>
      <c r="O49" s="6" t="s">
        <v>29</v>
      </c>
      <c r="P49" s="6">
        <v>3</v>
      </c>
      <c r="Q49" s="6">
        <v>9</v>
      </c>
    </row>
    <row r="50" spans="2:17" x14ac:dyDescent="0.2">
      <c r="B50" s="26"/>
      <c r="C50" s="21"/>
      <c r="D50" s="21"/>
      <c r="E50" s="26"/>
      <c r="F50" s="21"/>
      <c r="G50" s="21"/>
      <c r="H50" s="21"/>
      <c r="I50" s="21"/>
      <c r="O50" s="6" t="s">
        <v>29</v>
      </c>
      <c r="P50" s="6">
        <v>4</v>
      </c>
      <c r="Q50" s="6">
        <v>10</v>
      </c>
    </row>
    <row r="51" spans="2:17" x14ac:dyDescent="0.2">
      <c r="B51" s="23" t="s">
        <v>93</v>
      </c>
      <c r="C51" s="21"/>
      <c r="D51" s="21"/>
      <c r="E51" s="21"/>
      <c r="F51" s="23" t="s">
        <v>107</v>
      </c>
      <c r="G51" s="21"/>
      <c r="H51" s="21"/>
      <c r="I51" s="21"/>
      <c r="O51" s="6" t="s">
        <v>29</v>
      </c>
      <c r="P51" s="6">
        <v>5</v>
      </c>
      <c r="Q51" s="6">
        <v>1</v>
      </c>
    </row>
    <row r="52" spans="2:17" x14ac:dyDescent="0.2">
      <c r="B52" s="26" t="s">
        <v>67</v>
      </c>
      <c r="C52" s="29" t="s">
        <v>101</v>
      </c>
      <c r="D52" s="21"/>
      <c r="E52" s="21"/>
      <c r="F52" s="21"/>
      <c r="G52" s="21"/>
      <c r="H52" s="21"/>
      <c r="I52" s="21"/>
      <c r="O52" s="6" t="s">
        <v>30</v>
      </c>
      <c r="P52" s="6">
        <v>1</v>
      </c>
      <c r="Q52" s="6">
        <v>7</v>
      </c>
    </row>
    <row r="53" spans="2:17" x14ac:dyDescent="0.2">
      <c r="B53" s="26" t="s">
        <v>61</v>
      </c>
      <c r="C53" s="29" t="s">
        <v>104</v>
      </c>
      <c r="D53" s="21"/>
      <c r="E53" s="21"/>
      <c r="F53" s="21"/>
      <c r="G53" s="21"/>
      <c r="H53" s="21"/>
      <c r="I53" s="21"/>
      <c r="O53" s="6" t="s">
        <v>30</v>
      </c>
      <c r="P53" s="6">
        <v>2</v>
      </c>
      <c r="Q53" s="6">
        <v>7</v>
      </c>
    </row>
    <row r="54" spans="2:17" x14ac:dyDescent="0.2">
      <c r="B54" s="26" t="s">
        <v>83</v>
      </c>
      <c r="C54" s="29" t="s">
        <v>99</v>
      </c>
      <c r="D54" s="21"/>
      <c r="E54" s="21"/>
      <c r="F54" s="21" t="s">
        <v>106</v>
      </c>
      <c r="G54" s="21"/>
      <c r="H54" s="21"/>
      <c r="I54" s="21"/>
      <c r="O54" s="6" t="s">
        <v>30</v>
      </c>
      <c r="P54" s="6">
        <v>3</v>
      </c>
      <c r="Q54" s="6">
        <v>7</v>
      </c>
    </row>
    <row r="55" spans="2:17" x14ac:dyDescent="0.2">
      <c r="B55" s="26" t="s">
        <v>65</v>
      </c>
      <c r="C55" s="21">
        <v>-1</v>
      </c>
      <c r="D55" s="21"/>
      <c r="E55" s="21"/>
      <c r="F55" s="21"/>
      <c r="G55" s="21"/>
      <c r="H55" s="21"/>
      <c r="I55" s="21"/>
      <c r="O55" s="6" t="s">
        <v>30</v>
      </c>
      <c r="P55" s="6">
        <v>4</v>
      </c>
      <c r="Q55" s="6">
        <v>7</v>
      </c>
    </row>
    <row r="56" spans="2:17" x14ac:dyDescent="0.2">
      <c r="B56" s="21"/>
      <c r="C56" s="21"/>
      <c r="D56" s="21"/>
      <c r="E56" s="21"/>
      <c r="F56" s="21"/>
      <c r="G56" s="21"/>
      <c r="H56" s="21"/>
      <c r="I56" s="21"/>
      <c r="O56" s="6" t="s">
        <v>30</v>
      </c>
      <c r="P56" s="6">
        <v>5</v>
      </c>
      <c r="Q56" s="6">
        <v>7</v>
      </c>
    </row>
    <row r="57" spans="2:17" x14ac:dyDescent="0.2">
      <c r="B57" s="21"/>
      <c r="C57" s="31" t="s">
        <v>92</v>
      </c>
      <c r="D57" s="21"/>
      <c r="E57" s="21"/>
      <c r="F57" s="21"/>
      <c r="G57" s="21"/>
      <c r="H57" s="21"/>
      <c r="I57" s="21"/>
      <c r="O57" s="6" t="s">
        <v>30</v>
      </c>
      <c r="P57" s="6">
        <v>6</v>
      </c>
      <c r="Q57" s="6">
        <v>1</v>
      </c>
    </row>
    <row r="58" spans="2:17" x14ac:dyDescent="0.2">
      <c r="B58" s="23" t="s">
        <v>97</v>
      </c>
      <c r="C58" s="21"/>
      <c r="D58" s="21"/>
      <c r="E58" s="26"/>
      <c r="F58" s="21"/>
      <c r="G58" s="21"/>
      <c r="H58" s="21"/>
      <c r="I58" s="21"/>
    </row>
    <row r="59" spans="2:17" x14ac:dyDescent="0.2">
      <c r="B59" s="26" t="s">
        <v>67</v>
      </c>
      <c r="C59" s="21"/>
      <c r="D59" s="21" t="s">
        <v>103</v>
      </c>
      <c r="E59" s="21"/>
      <c r="F59" s="21"/>
      <c r="G59" s="21"/>
      <c r="H59" s="21"/>
      <c r="I59" s="21"/>
    </row>
    <row r="60" spans="2:17" x14ac:dyDescent="0.2">
      <c r="B60" s="26" t="s">
        <v>85</v>
      </c>
      <c r="C60" s="21"/>
      <c r="D60" s="21" t="s">
        <v>102</v>
      </c>
      <c r="E60" s="21"/>
      <c r="F60" s="21"/>
      <c r="G60" s="21"/>
      <c r="H60" s="21"/>
      <c r="I60" s="21"/>
      <c r="O60" s="25" t="s">
        <v>44</v>
      </c>
    </row>
    <row r="61" spans="2:17" x14ac:dyDescent="0.2">
      <c r="B61" s="26" t="s">
        <v>63</v>
      </c>
      <c r="C61" s="21"/>
      <c r="D61" s="21" t="s">
        <v>90</v>
      </c>
      <c r="E61" s="30"/>
      <c r="F61" s="21" t="s">
        <v>25</v>
      </c>
      <c r="G61" s="21"/>
      <c r="H61" s="21"/>
      <c r="I61" s="21"/>
      <c r="O61" s="6" t="s">
        <v>34</v>
      </c>
      <c r="P61" t="s">
        <v>8</v>
      </c>
    </row>
    <row r="62" spans="2:17" x14ac:dyDescent="0.2">
      <c r="B62" s="21" t="s">
        <v>65</v>
      </c>
      <c r="C62" s="21"/>
      <c r="D62" s="21" t="s">
        <v>105</v>
      </c>
      <c r="E62" s="21"/>
      <c r="F62" s="32">
        <v>1</v>
      </c>
      <c r="G62" s="21"/>
      <c r="H62" s="21"/>
      <c r="I62" s="21"/>
      <c r="O62">
        <v>1</v>
      </c>
      <c r="P62">
        <v>5000</v>
      </c>
    </row>
    <row r="63" spans="2:17" x14ac:dyDescent="0.2">
      <c r="B63" s="21"/>
      <c r="C63" s="21"/>
      <c r="D63" s="21"/>
      <c r="E63" s="21"/>
      <c r="F63" s="21"/>
      <c r="G63" s="21"/>
      <c r="H63" s="21"/>
      <c r="I63" s="21"/>
    </row>
    <row r="64" spans="2:17" x14ac:dyDescent="0.2">
      <c r="B64" s="21"/>
      <c r="C64" s="31" t="s">
        <v>92</v>
      </c>
      <c r="D64" s="29"/>
      <c r="E64" s="30"/>
      <c r="F64" s="21"/>
      <c r="G64" s="21"/>
      <c r="H64" s="21"/>
      <c r="I64" s="21"/>
    </row>
    <row r="65" spans="2:9" x14ac:dyDescent="0.2">
      <c r="B65" s="26"/>
      <c r="C65" s="21"/>
      <c r="D65" s="21"/>
      <c r="E65" s="21"/>
      <c r="F65" s="21"/>
      <c r="G65" s="21"/>
      <c r="H65" s="21"/>
      <c r="I65" s="21"/>
    </row>
    <row r="66" spans="2:9" x14ac:dyDescent="0.2">
      <c r="B66" s="26" t="s">
        <v>63</v>
      </c>
      <c r="C66" s="21"/>
      <c r="D66" s="21"/>
      <c r="E66" s="21"/>
      <c r="F66" s="21" t="s">
        <v>106</v>
      </c>
      <c r="G66" s="21"/>
    </row>
  </sheetData>
  <mergeCells count="4">
    <mergeCell ref="C8:G8"/>
    <mergeCell ref="O6:R10"/>
    <mergeCell ref="B2:E6"/>
    <mergeCell ref="B25:E29"/>
  </mergeCells>
  <pageMargins left="0.7" right="0.7" top="0.75" bottom="0.75" header="0.3" footer="0.3"/>
  <ignoredErrors>
    <ignoredError sqref="AD33:AD42 AD15:AD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schema</vt:lpstr>
      <vt:lpstr>Key Concepts</vt:lpstr>
      <vt:lpstr>Test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Sala || mediac.one</dc:creator>
  <cp:lastModifiedBy>Renzo Sala || mediac.one</cp:lastModifiedBy>
  <dcterms:created xsi:type="dcterms:W3CDTF">2026-03-30T08:40:48Z</dcterms:created>
  <dcterms:modified xsi:type="dcterms:W3CDTF">2026-04-07T04:08:47Z</dcterms:modified>
</cp:coreProperties>
</file>